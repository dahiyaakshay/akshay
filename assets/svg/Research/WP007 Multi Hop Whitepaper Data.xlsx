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24.xml" ContentType="application/vnd.openxmlformats-officedocument.spreadsheetml.worksheet+xml"/>
  <Override PartName="/xl/worksheets/sheet1.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Research_Assumptions" sheetId="2" state="visible" r:id="rId4"/>
    <sheet name="GT_V1_Semrush" sheetId="3" state="visible" r:id="rId5"/>
    <sheet name="GT_V2_WebFX" sheetId="4" state="visible" r:id="rId6"/>
    <sheet name="Prompt_Template" sheetId="5" state="visible" r:id="rId7"/>
    <sheet name="Run_Log" sheetId="6" state="visible" r:id="rId8"/>
    <sheet name="Claude_V1_Relationships" sheetId="7" state="visible" r:id="rId9"/>
    <sheet name="ChatGPT_V1_Relationships" sheetId="8" state="visible" r:id="rId10"/>
    <sheet name="Gemini_V1_Relationships" sheetId="9" state="visible" r:id="rId11"/>
    <sheet name="Claude_V2_Relationships" sheetId="10" state="visible" r:id="rId12"/>
    <sheet name="ChatGPT_V2_Relationships" sheetId="11" state="visible" r:id="rId13"/>
    <sheet name="Gemini_V2_Relationships" sheetId="12" state="visible" r:id="rId14"/>
    <sheet name="Chain_Depth_Analysis" sheetId="13" state="visible" r:id="rId15"/>
    <sheet name="Metrics_Calculator" sheetId="14" state="visible" r:id="rId16"/>
    <sheet name="Score_Comparison" sheetId="15" state="visible" r:id="rId17"/>
    <sheet name="Score_Discrimination" sheetId="16" state="visible" r:id="rId18"/>
    <sheet name="Relationship_Boundary" sheetId="17" state="visible" r:id="rId19"/>
    <sheet name="Competitor_Analysis" sheetId="18" state="visible" r:id="rId20"/>
    <sheet name="Relationship_Gaps" sheetId="19" state="visible" r:id="rId21"/>
    <sheet name="Recommendations_Log" sheetId="20" state="visible" r:id="rId22"/>
    <sheet name="GT_Accuracy" sheetId="21" state="visible" r:id="rId23"/>
    <sheet name="Findings_Traceability" sheetId="22" state="visible" r:id="rId24"/>
    <sheet name="Cross_Paper_Comparison" sheetId="23" state="visible" r:id="rId25"/>
    <sheet name="Limitations" sheetId="24" state="visible" r:id="rId2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<sst xmlns="http://schemas.openxmlformats.org/spreadsheetml/2006/main" count="2637" uniqueCount="1349">
  <si>
    <t xml:space="preserve">WP007 Research Appendix — Multi-Hop Reasoning for AI Retrievability</t>
  </si>
  <si>
    <t xml:space="preserve">Working Paper No. 007  |  Akshay Dahiya  |  AI Spider Pre-Build Validation Series  |  2025-2026</t>
  </si>
  <si>
    <t xml:space="preserve">HOW TO USE THIS WORKBOOK</t>
  </si>
  <si>
    <t xml:space="preserve">This workbook is the complete research audit trail for WP007. Every number in the whitepaper traces to a specific cell.</t>
  </si>
  <si>
    <t xml:space="preserve">Ground truth sheets (GT_V1, GT_V2) contain MANUAL entity and relationship labels established BEFORE any model was run (dated 2025-11-04).</t>
  </si>
  <si>
    <t xml:space="preserve">Relationship extraction sheets (6 sheets, one per model per vertical) are the core raw data — every triple [Source]-[type]-&gt;[Target] the model produced.</t>
  </si>
  <si>
    <t xml:space="preserve">Chain_Depth_Analysis reconstructs the actual longest paths from the raw triples — this is where the 7-hop SEO chain is documented.</t>
  </si>
  <si>
    <t xml:space="preserve">Relationship_Boundary is the decision log for the Fact/Relationship boundary — the equivalent of Boundary_Cases in WP006, and the central methodological sheet.</t>
  </si>
  <si>
    <t xml:space="preserve">Colour convention: BLUE = hardcoded model output  |  BLACK = formula  |  GREEN = cross-sheet link  |  AMBER = GT reference  |  ORANGE = over-extraction flag  |  LAVENDER = under-extraction flag</t>
  </si>
  <si>
    <t xml:space="preserve">SHEET INDEX</t>
  </si>
  <si>
    <t xml:space="preserve">#</t>
  </si>
  <si>
    <t xml:space="preserve">Sheet Name</t>
  </si>
  <si>
    <t xml:space="preserve">Purpose</t>
  </si>
  <si>
    <t xml:space="preserve">WP Ref</t>
  </si>
  <si>
    <t xml:space="preserve">Type</t>
  </si>
  <si>
    <t xml:space="preserve">README</t>
  </si>
  <si>
    <t xml:space="preserve">Workbook guide and sheet index</t>
  </si>
  <si>
    <t xml:space="preserve">All</t>
  </si>
  <si>
    <t xml:space="preserve">Navigation</t>
  </si>
  <si>
    <t xml:space="preserve">Research_Assumptions</t>
  </si>
  <si>
    <t xml:space="preserve">Key assumptions and derivation of every headline figure</t>
  </si>
  <si>
    <t xml:space="preserve">Abstract, Sec 2</t>
  </si>
  <si>
    <t xml:space="preserve">Assumptions</t>
  </si>
  <si>
    <t xml:space="preserve">GT_V1_Semrush</t>
  </si>
  <si>
    <t xml:space="preserve">Manual ground truth — V1 Semrush page entities + relationships (locked 2025-11-04)</t>
  </si>
  <si>
    <t xml:space="preserve">Sec 2.3</t>
  </si>
  <si>
    <t xml:space="preserve">Ground truth</t>
  </si>
  <si>
    <t xml:space="preserve">GT_V2_WebFX</t>
  </si>
  <si>
    <t xml:space="preserve">Manual ground truth — V2 WebFX page entities + relationships (locked 2025-11-04)</t>
  </si>
  <si>
    <t xml:space="preserve">Prompt_Template</t>
  </si>
  <si>
    <t xml:space="preserve">Full 5-stage prompt used identically across all 3 models</t>
  </si>
  <si>
    <t xml:space="preserve">Sec 2.2</t>
  </si>
  <si>
    <t xml:space="preserve">Methodology</t>
  </si>
  <si>
    <t xml:space="preserve">Run_Log</t>
  </si>
  <si>
    <t xml:space="preserve">Timestamped log of all 6 model runs — proves GT-first methodology</t>
  </si>
  <si>
    <t xml:space="preserve">Sec 2.4</t>
  </si>
  <si>
    <t xml:space="preserve">Process log</t>
  </si>
  <si>
    <t xml:space="preserve">Claude_V1_Relationships</t>
  </si>
  <si>
    <t xml:space="preserve">All relationship triples extracted by Claude from V1 Semrush (10 relationships)</t>
  </si>
  <si>
    <t xml:space="preserve">Sec 3.1</t>
  </si>
  <si>
    <t xml:space="preserve">Raw extraction</t>
  </si>
  <si>
    <t xml:space="preserve">ChatGPT_V1_Relationships</t>
  </si>
  <si>
    <t xml:space="preserve">All relationship triples extracted by ChatGPT from V1 Semrush (28 — inflated)</t>
  </si>
  <si>
    <t xml:space="preserve">Sec 3.1, F2</t>
  </si>
  <si>
    <t xml:space="preserve">Gemini_V1_Relationships</t>
  </si>
  <si>
    <t xml:space="preserve">All relationship triples extracted by Gemini from V1 Semrush (2 — under)</t>
  </si>
  <si>
    <t xml:space="preserve">Sec 3.1, F3</t>
  </si>
  <si>
    <t xml:space="preserve">Claude_V2_Relationships</t>
  </si>
  <si>
    <t xml:space="preserve">All relationship triples extracted by Claude from V2 WebFX (18)</t>
  </si>
  <si>
    <t xml:space="preserve">Sec 3.2</t>
  </si>
  <si>
    <t xml:space="preserve">ChatGPT_V2_Relationships</t>
  </si>
  <si>
    <t xml:space="preserve">All relationship triples extracted by ChatGPT from V2 WebFX (24)</t>
  </si>
  <si>
    <t xml:space="preserve">Gemini_V2_Relationships</t>
  </si>
  <si>
    <t xml:space="preserve">All relationship triples extracted by Gemini from V2 WebFX (21)</t>
  </si>
  <si>
    <t xml:space="preserve">Chain_Depth_Analysis</t>
  </si>
  <si>
    <t xml:space="preserve">Longest reasoning path per model per vertical — documents the 7-hop SEO chain</t>
  </si>
  <si>
    <t xml:space="preserve">Sec 3.2, F4</t>
  </si>
  <si>
    <t xml:space="preserve">Analysis</t>
  </si>
  <si>
    <t xml:space="preserve">Metrics_Calculator</t>
  </si>
  <si>
    <t xml:space="preserve">All 5 metrics per run derived from extraction sheets</t>
  </si>
  <si>
    <t xml:space="preserve">Sec 2.1, 3.3</t>
  </si>
  <si>
    <t xml:space="preserve">Derived metrics</t>
  </si>
  <si>
    <t xml:space="preserve">Score_Comparison</t>
  </si>
  <si>
    <t xml:space="preserve">All scores vs ground truth ranges with delta calculations</t>
  </si>
  <si>
    <t xml:space="preserve">Sec 3.3, Fig 7</t>
  </si>
  <si>
    <t xml:space="preserve">Comparison</t>
  </si>
  <si>
    <t xml:space="preserve">Score_Discrimination</t>
  </si>
  <si>
    <t xml:space="preserve">Proves V2 &gt; V1 per model — score gap table</t>
  </si>
  <si>
    <t xml:space="preserve">Sec 3.3</t>
  </si>
  <si>
    <t xml:space="preserve">Validation</t>
  </si>
  <si>
    <t xml:space="preserve">Relationship_Boundary</t>
  </si>
  <si>
    <t xml:space="preserve">Decision log: reasoning relationship vs feature description (23 cases)</t>
  </si>
  <si>
    <t xml:space="preserve">Sec 2.2, F2, F3</t>
  </si>
  <si>
    <t xml:space="preserve">Audit trail</t>
  </si>
  <si>
    <t xml:space="preserve">Competitor_Analysis</t>
  </si>
  <si>
    <t xml:space="preserve">Competitor relationship counts and Reasoning Scores</t>
  </si>
  <si>
    <t xml:space="preserve">Relationship_Gaps</t>
  </si>
  <si>
    <t xml:space="preserve">Missing chains per page per model — the F5 output</t>
  </si>
  <si>
    <t xml:space="preserve">Sec 4, F5</t>
  </si>
  <si>
    <t xml:space="preserve">Actionable output</t>
  </si>
  <si>
    <t xml:space="preserve">Recommendations_Log</t>
  </si>
  <si>
    <t xml:space="preserve">Chain-level editorial recommendations per page per model</t>
  </si>
  <si>
    <t xml:space="preserve">Recommendations</t>
  </si>
  <si>
    <t xml:space="preserve">GT_Accuracy</t>
  </si>
  <si>
    <t xml:space="preserve">Delta between model output and GT per metric — quantifies calibration</t>
  </si>
  <si>
    <t xml:space="preserve">Sec 3.3, F4</t>
  </si>
  <si>
    <t xml:space="preserve">Findings_Traceability</t>
  </si>
  <si>
    <t xml:space="preserve">F1-F6 + series finding each mapped to supporting sheets</t>
  </si>
  <si>
    <t xml:space="preserve">Sec 4</t>
  </si>
  <si>
    <t xml:space="preserve">Cross_Paper_Comparison</t>
  </si>
  <si>
    <t xml:space="preserve">WP001-007 model verdict pattern across all seven papers</t>
  </si>
  <si>
    <t xml:space="preserve">Sec 4 series</t>
  </si>
  <si>
    <t xml:space="preserve">Series</t>
  </si>
  <si>
    <t xml:space="preserve">Limitations</t>
  </si>
  <si>
    <t xml:space="preserve">Known constraints on WP007 results</t>
  </si>
  <si>
    <t xml:space="preserve">Sec 6</t>
  </si>
  <si>
    <t xml:space="preserve">Research Assumptions and Key Number Derivations</t>
  </si>
  <si>
    <t xml:space="preserve">How every headline figure in WP007 was calculated — the fast-path for any auditor</t>
  </si>
  <si>
    <t xml:space="preserve">Every relationship count, chain depth, coverage %, and score in the whitepaper is traced to a source here.</t>
  </si>
  <si>
    <t xml:space="preserve">Ground truth figures are AMBER. Model outputs are BLUE hardcoded inputs. Formula-derived values are BLACK.</t>
  </si>
  <si>
    <t xml:space="preserve">The most important assumption in this paper: the boundary between a reasoning relationship and a feature description.</t>
  </si>
  <si>
    <t xml:space="preserve">SECTION 1 — Framework and Design Assumptions</t>
  </si>
  <si>
    <t xml:space="preserve">Parameter</t>
  </si>
  <si>
    <t xml:space="preserve">Value</t>
  </si>
  <si>
    <t xml:space="preserve">Derivation</t>
  </si>
  <si>
    <t xml:space="preserve">Assumption Made</t>
  </si>
  <si>
    <t xml:space="preserve">Verify In</t>
  </si>
  <si>
    <t xml:space="preserve">Models tested</t>
  </si>
  <si>
    <t xml:space="preserve">3 (Claude Sonnet 4.6, ChatGPT GPT-5.5, Gemini 3.5 Flash)</t>
  </si>
  <si>
    <t xml:space="preserve">Same 3 models used across WP001-006 for series continuity</t>
  </si>
  <si>
    <t xml:space="preserve">3 models provide sufficient coverage of the extraction style spectrum (conservative / inclusive / literal)</t>
  </si>
  <si>
    <t xml:space="preserve">Run_Log, Sec 2.4</t>
  </si>
  <si>
    <t xml:space="preserve">Verticals</t>
  </si>
  <si>
    <t xml:space="preserve">2 (V1: Semrush KB page, V2: WebFX homepage)</t>
  </si>
  <si>
    <t xml:space="preserve">V1 = intentionally low-reasoning-depth feature list. V2 = intentionally high-reasoning-depth with explicit chains.</t>
  </si>
  <si>
    <t xml:space="preserve">Maximum discrimination design: pages chosen to maximise chain depth difference to prove module discriminates</t>
  </si>
  <si>
    <t xml:space="preserve">GT_V1_Semrush, GT_V2_WebFX, Sec 2.3</t>
  </si>
  <si>
    <t xml:space="preserve">Total runs</t>
  </si>
  <si>
    <t xml:space="preserve">6 (3 models x 2 verticals)</t>
  </si>
  <si>
    <t xml:space="preserve">Independent fresh-context runs — no conversation history, no cross-contamination between verticals</t>
  </si>
  <si>
    <t xml:space="preserve">Critical prompt constraint</t>
  </si>
  <si>
    <t xml:space="preserve">Do NOT infer from domain knowledge</t>
  </si>
  <si>
    <t xml:space="preserve">Embedded verbatim in SYSTEM ROLE block of Prompt_Template v1.0</t>
  </si>
  <si>
    <t xml:space="preserve">Without this constraint, all 3 models hallucinate reasoning chains that exist in the domain but are not stated in the text. Validated in prototype testing.</t>
  </si>
  <si>
    <t xml:space="preserve">Prompt_Template, Sec 2.2</t>
  </si>
  <si>
    <t xml:space="preserve">Relationship quality rule</t>
  </si>
  <si>
    <t xml:space="preserve">Only CAUSAL, ENABLING, IMPROVING, DETERMINING relationships count toward chain depth</t>
  </si>
  <si>
    <t xml:space="preserve">Feature descriptions (measures, monitors, shows, identifies) are valid as single-hop nodes but NOT counted as reasoning relationships in depth calculation</t>
  </si>
  <si>
    <t xml:space="preserve">This is the most consequential design decision in WP007. ChatGPT crossed this boundary on 11 V1 triples. See Relationship_Boundary sheet.</t>
  </si>
  <si>
    <t xml:space="preserve">Relationship_Boundary, Sec 2.2</t>
  </si>
  <si>
    <t xml:space="preserve">Ground truth method</t>
  </si>
  <si>
    <t xml:space="preserve">Manual entity and relationship mapping per page before model runs</t>
  </si>
  <si>
    <t xml:space="preserve">Researcher mapped every entity and every explicit relationship from both pages sentence by sentence</t>
  </si>
  <si>
    <t xml:space="preserve">GT established first to prevent anchoring — locked 2025-11-04, all model runs 2025-11-05</t>
  </si>
  <si>
    <t xml:space="preserve">GT_V1_Semrush, GT_V2_WebFX, Run_Log</t>
  </si>
  <si>
    <t xml:space="preserve">SECTION 2 — Headline Number Derivations</t>
  </si>
  <si>
    <t xml:space="preserve">Headline Figure</t>
  </si>
  <si>
    <t xml:space="preserve">Published Value</t>
  </si>
  <si>
    <t xml:space="preserve">Source</t>
  </si>
  <si>
    <t xml:space="preserve">Derivation Logic</t>
  </si>
  <si>
    <t xml:space="preserve">GT Range</t>
  </si>
  <si>
    <t xml:space="preserve">V1 Semrush — Claude relationships</t>
  </si>
  <si>
    <t xml:space="preserve">COUNTIF of all rows where Relationship_Quality = REASONING (not FEATURE_DESC)</t>
  </si>
  <si>
    <t xml:space="preserve">~7 (GT)</t>
  </si>
  <si>
    <t xml:space="preserve">Claude_V1_Relationships, Metrics_Calculator</t>
  </si>
  <si>
    <t xml:space="preserve">V1 Semrush — ChatGPT relationships</t>
  </si>
  <si>
    <t xml:space="preserve">COUNTIF of all rows — INFLATED: 11 'tool enables feature' descriptions counted as relationships</t>
  </si>
  <si>
    <t xml:space="preserve">ChatGPT_V1_Relationships, Relationship_Boundary</t>
  </si>
  <si>
    <t xml:space="preserve">V1 Semrush — Gemini relationships</t>
  </si>
  <si>
    <t xml:space="preserve">COUNTIF — UNDER-EXTRACTED: only 2 literal causal statements accepted</t>
  </si>
  <si>
    <t xml:space="preserve">Gemini_V1_Relationships, GT_Accuracy</t>
  </si>
  <si>
    <t xml:space="preserve">V1 Semrush — Claude max chain depth</t>
  </si>
  <si>
    <t xml:space="preserve">Longest path in Claude's V1 relationship graph: Technical Issues -&gt; AI Crawlers -&gt; Page Inclusion (depth 3)</t>
  </si>
  <si>
    <t xml:space="preserve">2-3 (GT)</t>
  </si>
  <si>
    <t xml:space="preserve">V1 Semrush — Claude Reasoning Score</t>
  </si>
  <si>
    <t xml:space="preserve">Model Stage 4 composite: weighted relationship quality + chain depth + coverage penalty for isolated concepts</t>
  </si>
  <si>
    <t xml:space="preserve">25-40 (GT)</t>
  </si>
  <si>
    <t xml:space="preserve">Metrics_Calculator, Score_Comparison</t>
  </si>
  <si>
    <t xml:space="preserve">V1 Semrush — ChatGPT Reasoning Score</t>
  </si>
  <si>
    <t xml:space="preserve">Same formula — inflated by 28 relationship count driving high coverage % and chain calculation</t>
  </si>
  <si>
    <t xml:space="preserve">V1 Semrush — Gemini Reasoning Score</t>
  </si>
  <si>
    <t xml:space="preserve">Same formula — depressed by only 2 relationships and 14.3% coverage</t>
  </si>
  <si>
    <t xml:space="preserve">V2 WebFX — Claude max chain depth</t>
  </si>
  <si>
    <t xml:space="preserve">Longest path: SEO -&gt; Organic Traffic -&gt; Leads -&gt; CRM -&gt; Campaign Opt. -&gt; CPA -&gt; Marketing ROI (7 nodes = depth 7)</t>
  </si>
  <si>
    <t xml:space="preserve">5-6 (GT)</t>
  </si>
  <si>
    <t xml:space="preserve">Chain_Depth_Analysis, Sec 3.2</t>
  </si>
  <si>
    <t xml:space="preserve">V2 WebFX — Claude Reasoning Score</t>
  </si>
  <si>
    <t xml:space="preserve">Only V2 score within GT range (65-80) for Claude. High chain depth + good coverage.</t>
  </si>
  <si>
    <t xml:space="preserve">65-80 (GT)</t>
  </si>
  <si>
    <t xml:space="preserve">Score discrimination — Claude</t>
  </si>
  <si>
    <t xml:space="preserve">+38 pts (34-&gt;72)</t>
  </si>
  <si>
    <t xml:space="preserve">Score_Discrimination!D5 (Claude V2 - Claude V1)</t>
  </si>
  <si>
    <t xml:space="preserve">Positive required</t>
  </si>
  <si>
    <t xml:space="preserve">Score discrimination — ChatGPT</t>
  </si>
  <si>
    <t xml:space="preserve">+22 pts (68-&gt;90)</t>
  </si>
  <si>
    <t xml:space="preserve">Score_Discrimination!D6 (ChatGPT V2 - ChatGPT V1)</t>
  </si>
  <si>
    <t xml:space="preserve">Score discrimination — Gemini</t>
  </si>
  <si>
    <t xml:space="preserve">+73 pts (15-&gt;88)</t>
  </si>
  <si>
    <t xml:space="preserve">Score_Discrimination!D7 (Gemini V2 - Gemini V1) — largest gap because V1 severely under-scored</t>
  </si>
  <si>
    <t xml:space="preserve">V1 Multi-Hop Coverage — Claude</t>
  </si>
  <si>
    <t xml:space="preserve">52%</t>
  </si>
  <si>
    <t xml:space="preserve">Connected concepts / (Connected + Isolated). Claude found 13 connected, 12 isolated from V1.</t>
  </si>
  <si>
    <t xml:space="preserve">N/A</t>
  </si>
  <si>
    <t xml:space="preserve">V1 Multi-Hop Coverage — ChatGPT</t>
  </si>
  <si>
    <t xml:space="preserve">67.5%</t>
  </si>
  <si>
    <t xml:space="preserve">ChatGPT found 27 connected, 13 isolated — higher due to inflated relationship count.</t>
  </si>
  <si>
    <t xml:space="preserve">V1 Multi-Hop Coverage — Gemini</t>
  </si>
  <si>
    <t xml:space="preserve">14.3%</t>
  </si>
  <si>
    <t xml:space="preserve">Gemini found 2 connected, 12 isolated — extremely low due to under-extraction.</t>
  </si>
  <si>
    <t xml:space="preserve">SECTION 3 — Metric Formula Reference</t>
  </si>
  <si>
    <t xml:space="preserve">Relationship Count = COUNTIF(Relationship_Quality column, 'REASONING')  -- feature descriptions excluded from chain depth</t>
  </si>
  <si>
    <t xml:space="preserve">Max Chain Depth = longest directed path in the relationship graph (computed manually in Chain_Depth_Analysis sheet)</t>
  </si>
  <si>
    <t xml:space="preserve">Connected Concepts = entities participating in at least one REASONING relationship</t>
  </si>
  <si>
    <t xml:space="preserve">Isolated Concepts = entities mentioned but not in any REASONING relationship</t>
  </si>
  <si>
    <t xml:space="preserve">Multi-Hop Coverage = Connected / (Connected + Isolated)   e.g. Claude V1: 13/(13+12) = 52.0%</t>
  </si>
  <si>
    <t xml:space="preserve">Reasoning Score = model Stage 4 composite 0-100: chain depth weighted 50%, coverage 30%, relationship count 20%</t>
  </si>
  <si>
    <t xml:space="preserve">Score Discrimination Gap = V2_Score - V1_Score per model (must be positive — validated in Score_Discrimination sheet)</t>
  </si>
  <si>
    <t xml:space="preserve">Ground Truth — V1 Semrush AI Visibility Toolkit KB Page</t>
  </si>
  <si>
    <t xml:space="preserve">Manual entity and relationship mapping established BEFORE any model run. Locked: 2025-11-04.</t>
  </si>
  <si>
    <t xml:space="preserve">PURPOSE: Every entity and relationship on the Semrush KB page was mapped by the researcher sentence-by-sentence before any model was queried.</t>
  </si>
  <si>
    <t xml:space="preserve">The key GT finding: the page has almost no explicit causal reasoning chains — it is a feature list. Explicit chains: ~7.</t>
  </si>
  <si>
    <t xml:space="preserve">The one clear multi-hop chain: Technical Issues -&gt; blocks -&gt; AI Crawlers -&gt; affects -&gt; Page Inclusion in AI answers (depth 2).</t>
  </si>
  <si>
    <t xml:space="preserve">This is what makes V1 the hard test case: extracting 2 or 28 relationships from the same low-reasoning-depth page both represent model failures in opposite directions.</t>
  </si>
  <si>
    <t xml:space="preserve">  GROUND TRUTH — Manual researcher mapping | Date locked: 2025-11-04 | NOT a model output | All model runs: 2025-11-05</t>
  </si>
  <si>
    <t xml:space="preserve">SECTION A — Entity Inventory (manual, pre-model)</t>
  </si>
  <si>
    <t xml:space="preserve">Entity ID</t>
  </si>
  <si>
    <t xml:space="preserve">Entity Name</t>
  </si>
  <si>
    <t xml:space="preserve">Entity Type</t>
  </si>
  <si>
    <t xml:space="preserve">Connected?</t>
  </si>
  <si>
    <t xml:space="preserve">Reasoning Role</t>
  </si>
  <si>
    <t xml:space="preserve">Source Sentence</t>
  </si>
  <si>
    <t xml:space="preserve">GT Notes</t>
  </si>
  <si>
    <t xml:space="preserve">V1-E01</t>
  </si>
  <si>
    <t xml:space="preserve">Semrush AI Visibility Toolkit</t>
  </si>
  <si>
    <t xml:space="preserve">Product</t>
  </si>
  <si>
    <t xml:space="preserve">YES</t>
  </si>
  <si>
    <t xml:space="preserve">Source — the primary tool being described</t>
  </si>
  <si>
    <t xml:space="preserve">'Semrush AI Visibility Toolkit'</t>
  </si>
  <si>
    <t xml:space="preserve">Named product — anchor entity for all other V1 relationships</t>
  </si>
  <si>
    <t xml:space="preserve">V1-E02</t>
  </si>
  <si>
    <t xml:space="preserve">AI Visibility Score</t>
  </si>
  <si>
    <t xml:space="preserve">Feature/Metric</t>
  </si>
  <si>
    <t xml:space="preserve">Intermediate — score produced by the tool</t>
  </si>
  <si>
    <t xml:space="preserve">'AI Visibility Score updated daily'</t>
  </si>
  <si>
    <t xml:space="preserve">Named metric with frequency — connects to monitoring chain</t>
  </si>
  <si>
    <t xml:space="preserve">V1-E03</t>
  </si>
  <si>
    <t xml:space="preserve">Technical Issues</t>
  </si>
  <si>
    <t xml:space="preserve">Problem entity</t>
  </si>
  <si>
    <t xml:space="preserve">Source — triggers the one clear causal chain</t>
  </si>
  <si>
    <t xml:space="preserve">'AI Search Site Audit identifies technical issues'</t>
  </si>
  <si>
    <t xml:space="preserve">Starting node of the page's only explicit causal chain</t>
  </si>
  <si>
    <t xml:space="preserve">V1-E04</t>
  </si>
  <si>
    <t xml:space="preserve">AI Crawlers</t>
  </si>
  <si>
    <t xml:space="preserve">Agent</t>
  </si>
  <si>
    <t xml:space="preserve">Intermediate — the mechanism in the causal chain</t>
  </si>
  <si>
    <t xml:space="preserve">'blocking AI bots from accessing pages'</t>
  </si>
  <si>
    <t xml:space="preserve">Core of the depth-2 causal chain</t>
  </si>
  <si>
    <t xml:space="preserve">V1-E05</t>
  </si>
  <si>
    <t xml:space="preserve">Page Inclusion in AI Answers</t>
  </si>
  <si>
    <t xml:space="preserve">Outcome</t>
  </si>
  <si>
    <t xml:space="preserve">Target — end of the causal chain</t>
  </si>
  <si>
    <t xml:space="preserve">'affects inclusion in AI answers'</t>
  </si>
  <si>
    <t xml:space="preserve">Only explicitly stated outcome in V1 — depth-2 chain terminus</t>
  </si>
  <si>
    <t xml:space="preserve">V1-E06</t>
  </si>
  <si>
    <t xml:space="preserve">Share of Voice</t>
  </si>
  <si>
    <t xml:space="preserve">Metric</t>
  </si>
  <si>
    <t xml:space="preserve">Intermediate — measured by Brand Performance feature</t>
  </si>
  <si>
    <t xml:space="preserve">'Brand Performance measures Share of Voice'</t>
  </si>
  <si>
    <t xml:space="preserve">Named metric — chain stops here; downstream effect not stated</t>
  </si>
  <si>
    <t xml:space="preserve">V1-E07</t>
  </si>
  <si>
    <t xml:space="preserve">Brand Performance</t>
  </si>
  <si>
    <t xml:space="preserve">Feature</t>
  </si>
  <si>
    <t xml:space="preserve">Source — names a feature</t>
  </si>
  <si>
    <t xml:space="preserve">'Brand Performance feature measures Share of Voice'</t>
  </si>
  <si>
    <t xml:space="preserve">Feature entity — relates to SoV but chain is incomplete</t>
  </si>
  <si>
    <t xml:space="preserve">V1-E08</t>
  </si>
  <si>
    <t xml:space="preserve">Prompt Research</t>
  </si>
  <si>
    <t xml:space="preserve">'Prompt Research measures volume/difficulty/intent'</t>
  </si>
  <si>
    <t xml:space="preserve">Named feature with named outputs</t>
  </si>
  <si>
    <t xml:space="preserve">V1-E09</t>
  </si>
  <si>
    <t xml:space="preserve">AI Mention Volume</t>
  </si>
  <si>
    <t xml:space="preserve">Output metric</t>
  </si>
  <si>
    <t xml:space="preserve">Target of Prompt Research relationship</t>
  </si>
  <si>
    <t xml:space="preserve">'measures volume, difficulty, intent'</t>
  </si>
  <si>
    <t xml:space="preserve">Named output — isolated beyond this single relationship</t>
  </si>
  <si>
    <t xml:space="preserve">V1-E10</t>
  </si>
  <si>
    <t xml:space="preserve">261M+ prompts database</t>
  </si>
  <si>
    <t xml:space="preserve">Data asset</t>
  </si>
  <si>
    <t xml:space="preserve">NO</t>
  </si>
  <si>
    <t xml:space="preserve">Isolated — mentioned as a spec, no relationship</t>
  </si>
  <si>
    <t xml:space="preserve">'261M+ prompts in the monitoring database'</t>
  </si>
  <si>
    <t xml:space="preserve">Fact, not a node in any reasoning chain</t>
  </si>
  <si>
    <t xml:space="preserve">V1-E11</t>
  </si>
  <si>
    <t xml:space="preserve">$99/month pricing</t>
  </si>
  <si>
    <t xml:space="preserve">Pricing</t>
  </si>
  <si>
    <t xml:space="preserve">Isolated — product spec, no reasoning connection</t>
  </si>
  <si>
    <t xml:space="preserve">'$99/month'</t>
  </si>
  <si>
    <t xml:space="preserve">Price point — no causal role in any chain</t>
  </si>
  <si>
    <t xml:space="preserve">V1-E12</t>
  </si>
  <si>
    <t xml:space="preserve">Brand Visibility in AI</t>
  </si>
  <si>
    <t xml:space="preserve">Isolated — mentioned as a goal but no chain to it</t>
  </si>
  <si>
    <t xml:space="preserve">'improve brand visibility in AI'</t>
  </si>
  <si>
    <t xml:space="preserve">The most important missing connection — outcome mentioned but no path to it</t>
  </si>
  <si>
    <t xml:space="preserve">V1-E13</t>
  </si>
  <si>
    <t xml:space="preserve">Competitive Gap</t>
  </si>
  <si>
    <t xml:space="preserve">Concept</t>
  </si>
  <si>
    <t xml:space="preserve">Isolated — named but not explained</t>
  </si>
  <si>
    <t xml:space="preserve">'identifies competitive gaps'</t>
  </si>
  <si>
    <t xml:space="preserve">What the gap is or what following it achieves is never stated</t>
  </si>
  <si>
    <t xml:space="preserve">V1-E14</t>
  </si>
  <si>
    <t xml:space="preserve">AI Search Site Audit</t>
  </si>
  <si>
    <t xml:space="preserve">Source — leads to Technical Issues identification</t>
  </si>
  <si>
    <t xml:space="preserve">Feature that starts the causal chain</t>
  </si>
  <si>
    <t xml:space="preserve">V1-E15</t>
  </si>
  <si>
    <t xml:space="preserve">Market Explorer</t>
  </si>
  <si>
    <t xml:space="preserve">Isolated — named but not connected forward</t>
  </si>
  <si>
    <t xml:space="preserve">'Market Explorer shows category-level AI share data'</t>
  </si>
  <si>
    <t xml:space="preserve">Feature description only — no downstream reasoning</t>
  </si>
  <si>
    <t xml:space="preserve">V1-E16</t>
  </si>
  <si>
    <t xml:space="preserve">Prompt Explorer</t>
  </si>
  <si>
    <t xml:space="preserve">'Prompt Explorer shows which prompts trigger brand mentions'</t>
  </si>
  <si>
    <t xml:space="preserve">Feature description only</t>
  </si>
  <si>
    <t xml:space="preserve">V1-E17</t>
  </si>
  <si>
    <t xml:space="preserve">OtterlyAI</t>
  </si>
  <si>
    <t xml:space="preserve">Competitor</t>
  </si>
  <si>
    <t xml:space="preserve">Competitor reference only</t>
  </si>
  <si>
    <t xml:space="preserve">Implicit from competitor set</t>
  </si>
  <si>
    <t xml:space="preserve">Benchmark competitor — not a reasoning entity in V1 chain</t>
  </si>
  <si>
    <t xml:space="preserve">V1-E18</t>
  </si>
  <si>
    <t xml:space="preserve">Rankshift</t>
  </si>
  <si>
    <t xml:space="preserve">Benchmark competitor</t>
  </si>
  <si>
    <t xml:space="preserve">V1-E19</t>
  </si>
  <si>
    <t xml:space="preserve">Peec AI</t>
  </si>
  <si>
    <t xml:space="preserve">GT Entity counts</t>
  </si>
  <si>
    <t xml:space="preserve">Total entities</t>
  </si>
  <si>
    <t xml:space="preserve">Connected entities</t>
  </si>
  <si>
    <t xml:space="preserve">(participating in at least one reasoning relationship)</t>
  </si>
  <si>
    <t xml:space="preserve">Isolated entities</t>
  </si>
  <si>
    <t xml:space="preserve">(mentioned but no meaningful reasoning connection)</t>
  </si>
  <si>
    <t xml:space="preserve">SECTION B — Relationship Inventory (manual, pre-model)</t>
  </si>
  <si>
    <t xml:space="preserve">Rel ID</t>
  </si>
  <si>
    <t xml:space="preserve">Source Entity</t>
  </si>
  <si>
    <t xml:space="preserve">Rel Type</t>
  </si>
  <si>
    <t xml:space="preserve">Target Entity</t>
  </si>
  <si>
    <t xml:space="preserve">Hop Depth</t>
  </si>
  <si>
    <t xml:space="preserve">Explicit?</t>
  </si>
  <si>
    <t xml:space="preserve">GT Inclusion</t>
  </si>
  <si>
    <t xml:space="preserve">V1-R01</t>
  </si>
  <si>
    <t xml:space="preserve">identifies</t>
  </si>
  <si>
    <t xml:space="preserve">INCLUDED</t>
  </si>
  <si>
    <t xml:space="preserve">'AI Search Site Audit identifies technical issues blocking AI bots'</t>
  </si>
  <si>
    <t xml:space="preserve">V1-R02</t>
  </si>
  <si>
    <t xml:space="preserve">blocks</t>
  </si>
  <si>
    <t xml:space="preserve">V1-R03</t>
  </si>
  <si>
    <t xml:space="preserve">affects</t>
  </si>
  <si>
    <t xml:space="preserve">'affects inclusion in AI answers' — implied by 'blocking AI bots'</t>
  </si>
  <si>
    <t xml:space="preserve">V1-R04</t>
  </si>
  <si>
    <t xml:space="preserve">measures</t>
  </si>
  <si>
    <t xml:space="preserve">V1-R05</t>
  </si>
  <si>
    <t xml:space="preserve">Semrush Toolkit</t>
  </si>
  <si>
    <t xml:space="preserve">monitors</t>
  </si>
  <si>
    <t xml:space="preserve">'monitors brand visibility across ChatGPT, Gemini, Perplexity'</t>
  </si>
  <si>
    <t xml:space="preserve">V1-R06</t>
  </si>
  <si>
    <t xml:space="preserve">'Prompt Research measures volume, difficulty, intent'</t>
  </si>
  <si>
    <t xml:space="preserve">V1-R07</t>
  </si>
  <si>
    <t xml:space="preserve">tracks</t>
  </si>
  <si>
    <t xml:space="preserve">Brand Visibility Trend</t>
  </si>
  <si>
    <t xml:space="preserve">'tracks changes in AI mentions over time'</t>
  </si>
  <si>
    <t xml:space="preserve">V1-R08</t>
  </si>
  <si>
    <t xml:space="preserve">enables</t>
  </si>
  <si>
    <t xml:space="preserve">Competitive Benchmarking</t>
  </si>
  <si>
    <t xml:space="preserve">IMPLICIT</t>
  </si>
  <si>
    <t xml:space="preserve">BORDERLINE — EXCLUDED from GT count</t>
  </si>
  <si>
    <t xml:space="preserve">'benchmarks brand AI visibility against competitors' — feature description, not causal</t>
  </si>
  <si>
    <t xml:space="preserve">V1-R09</t>
  </si>
  <si>
    <t xml:space="preserve">Share of Voice improvement</t>
  </si>
  <si>
    <t xml:space="preserve">leads to</t>
  </si>
  <si>
    <t xml:space="preserve">Brand Discoverability in AI</t>
  </si>
  <si>
    <t xml:space="preserve">EXCLUDED — MISSING CHAIN</t>
  </si>
  <si>
    <t xml:space="preserve">NOT STATED on page. This is the key relationship gap identified in F5.</t>
  </si>
  <si>
    <t xml:space="preserve">V1-R10</t>
  </si>
  <si>
    <t xml:space="preserve">Technical Issues fix</t>
  </si>
  <si>
    <t xml:space="preserve">Improved AI Visibility</t>
  </si>
  <si>
    <t xml:space="preserve">NOT STATED. The page identifies issues but never states fixing them improves AI visibility.</t>
  </si>
  <si>
    <t xml:space="preserve">GT Relationship count (explicit, included)</t>
  </si>
  <si>
    <t xml:space="preserve">~7 (published GT range)</t>
  </si>
  <si>
    <t xml:space="preserve">GT Max chain depth</t>
  </si>
  <si>
    <t xml:space="preserve">2-3</t>
  </si>
  <si>
    <t xml:space="preserve">AI Search Site Audit -&gt; Tech Issues -&gt; AI Crawlers -&gt; Page Inclusion (depth 3, partially implicit)</t>
  </si>
  <si>
    <t xml:space="preserve">Ground Truth — V2 WebFX Homepage</t>
  </si>
  <si>
    <t xml:space="preserve">PURPOSE: WebFX was selected as the high-reasoning-depth benchmark — one of the most explicitly chain-rich homepages in the dataset.</t>
  </si>
  <si>
    <t xml:space="preserve">Key GT finding: The SEO chain (depth 7) and RevenueCloudFX chain (depth 4-5) are explicitly stated in the page copy.</t>
  </si>
  <si>
    <t xml:space="preserve">Expected: all 3 models should find the SEO chain. Finding F4 confirms all 3 did (depth 6-7). This validates max chain depth as the most robust metric.</t>
  </si>
  <si>
    <t xml:space="preserve">The GT expected ~12-15 relationships. Actual model outputs: Claude 18, ChatGPT 24, Gemini 21 — all higher than GT, but all converged on max depth.</t>
  </si>
  <si>
    <t xml:space="preserve">SECTION A — Entity Inventory</t>
  </si>
  <si>
    <t xml:space="preserve">Chain Role</t>
  </si>
  <si>
    <t xml:space="preserve">V2-E01</t>
  </si>
  <si>
    <t xml:space="preserve">SEO</t>
  </si>
  <si>
    <t xml:space="preserve">Service/Strategy</t>
  </si>
  <si>
    <t xml:space="preserve">Chain start — initiates the primary 7-hop chain</t>
  </si>
  <si>
    <t xml:space="preserve">'SEO services drive organic traffic'</t>
  </si>
  <si>
    <t xml:space="preserve">Anchor of the most important reasoning chain in the dataset</t>
  </si>
  <si>
    <t xml:space="preserve">V2-E02</t>
  </si>
  <si>
    <t xml:space="preserve">Organic Traffic</t>
  </si>
  <si>
    <t xml:space="preserve">Chain node 2 — bridges SEO to leads</t>
  </si>
  <si>
    <t xml:space="preserve">'organic traffic converts to leads'</t>
  </si>
  <si>
    <t xml:space="preserve">Key conversion node</t>
  </si>
  <si>
    <t xml:space="preserve">V2-E03</t>
  </si>
  <si>
    <t xml:space="preserve">Leads</t>
  </si>
  <si>
    <t xml:space="preserve">Chain node 3</t>
  </si>
  <si>
    <t xml:space="preserve">'leads feed into CRM'</t>
  </si>
  <si>
    <t xml:space="preserve">Bridge to data infrastructure</t>
  </si>
  <si>
    <t xml:space="preserve">V2-E04</t>
  </si>
  <si>
    <t xml:space="preserve">CRM</t>
  </si>
  <si>
    <t xml:space="preserve">System</t>
  </si>
  <si>
    <t xml:space="preserve">Chain node 4</t>
  </si>
  <si>
    <t xml:space="preserve">'CRM data informs campaign optimisation'</t>
  </si>
  <si>
    <t xml:space="preserve">Data → strategy bridge</t>
  </si>
  <si>
    <t xml:space="preserve">V2-E05</t>
  </si>
  <si>
    <t xml:space="preserve">Campaign Optimisation</t>
  </si>
  <si>
    <t xml:space="preserve">Process</t>
  </si>
  <si>
    <t xml:space="preserve">Chain node 5</t>
  </si>
  <si>
    <t xml:space="preserve">'campaign optimisation reduces CPA'</t>
  </si>
  <si>
    <t xml:space="preserve">Efficiency node</t>
  </si>
  <si>
    <t xml:space="preserve">V2-E06</t>
  </si>
  <si>
    <t xml:space="preserve">CPA (Cost Per Acquisition)</t>
  </si>
  <si>
    <t xml:space="preserve">Chain node 6</t>
  </si>
  <si>
    <t xml:space="preserve">'reduces CPA'</t>
  </si>
  <si>
    <t xml:space="preserve">Cost metric — reduces</t>
  </si>
  <si>
    <t xml:space="preserve">V2-E07</t>
  </si>
  <si>
    <t xml:space="preserve">Marketing ROI</t>
  </si>
  <si>
    <t xml:space="preserve">Chain terminus — 7-hop chain end</t>
  </si>
  <si>
    <t xml:space="preserve">'improves Marketing ROI'</t>
  </si>
  <si>
    <t xml:space="preserve">The final outcome node — what the entire chain is arguing for</t>
  </si>
  <si>
    <t xml:space="preserve">V2-E08</t>
  </si>
  <si>
    <t xml:space="preserve">RevenueCloudFX</t>
  </si>
  <si>
    <t xml:space="preserve">Platform</t>
  </si>
  <si>
    <t xml:space="preserve">Parallel chain start</t>
  </si>
  <si>
    <t xml:space="preserve">'RevenueCloudFX enables revenue attribution'</t>
  </si>
  <si>
    <t xml:space="preserve">Second major chain in V2</t>
  </si>
  <si>
    <t xml:space="preserve">V2-E09</t>
  </si>
  <si>
    <t xml:space="preserve">Revenue Attribution</t>
  </si>
  <si>
    <t xml:space="preserve">Intermediate — bridges data to budget</t>
  </si>
  <si>
    <t xml:space="preserve">'enables revenue attribution'</t>
  </si>
  <si>
    <t xml:space="preserve">Links platform to budget decision</t>
  </si>
  <si>
    <t xml:space="preserve">V2-E10</t>
  </si>
  <si>
    <t xml:space="preserve">Budget Allocation</t>
  </si>
  <si>
    <t xml:space="preserve">Intermediate</t>
  </si>
  <si>
    <t xml:space="preserve">'informs budget allocation'</t>
  </si>
  <si>
    <t xml:space="preserve">Strategic decision node</t>
  </si>
  <si>
    <t xml:space="preserve">V2-E11</t>
  </si>
  <si>
    <t xml:space="preserve">Revenue Growth</t>
  </si>
  <si>
    <t xml:space="preserve">Chain terminus — parallel chain</t>
  </si>
  <si>
    <t xml:space="preserve">'leads to revenue growth'</t>
  </si>
  <si>
    <t xml:space="preserve">Parallel chain terminus</t>
  </si>
  <si>
    <t xml:space="preserve">V2-E12</t>
  </si>
  <si>
    <t xml:space="preserve">MarketingCloudFX</t>
  </si>
  <si>
    <t xml:space="preserve">Source — data platform</t>
  </si>
  <si>
    <t xml:space="preserve">'MarketingCloudFX integrates data sources'</t>
  </si>
  <si>
    <t xml:space="preserve">Named proprietary platform with named function</t>
  </si>
  <si>
    <t xml:space="preserve">V2-E13</t>
  </si>
  <si>
    <t xml:space="preserve">Client Revenue ($10B+)</t>
  </si>
  <si>
    <t xml:space="preserve">Result</t>
  </si>
  <si>
    <t xml:space="preserve">Evidence node — substantiates claims</t>
  </si>
  <si>
    <t xml:space="preserve">'$10B+ in client revenue generated'</t>
  </si>
  <si>
    <t xml:space="preserve">Specific fact that functions as evidence for ROI chain</t>
  </si>
  <si>
    <t xml:space="preserve">V2-E14</t>
  </si>
  <si>
    <t xml:space="preserve">500+ Digital Experts</t>
  </si>
  <si>
    <t xml:space="preserve">Resource</t>
  </si>
  <si>
    <t xml:space="preserve">Enabling node</t>
  </si>
  <si>
    <t xml:space="preserve">'500+ digital experts deliver results'</t>
  </si>
  <si>
    <t xml:space="preserve">Connected to service delivery chain</t>
  </si>
  <si>
    <t xml:space="preserve">V2-E15</t>
  </si>
  <si>
    <t xml:space="preserve">Net Friends (case study)</t>
  </si>
  <si>
    <t xml:space="preserve">Evidence</t>
  </si>
  <si>
    <t xml:space="preserve">Evidence — supports organic traffic chain</t>
  </si>
  <si>
    <t xml:space="preserve">'Net Friends: organic traffic up 100%+'</t>
  </si>
  <si>
    <t xml:space="preserve">Named case study as evidence node</t>
  </si>
  <si>
    <t xml:space="preserve">V2-E16</t>
  </si>
  <si>
    <t xml:space="preserve">Manufacturing client (30% ROI)</t>
  </si>
  <si>
    <t xml:space="preserve">Evidence — supports ROI chain</t>
  </si>
  <si>
    <t xml:space="preserve">'Manufacturing: 30% ROI improvement'</t>
  </si>
  <si>
    <t xml:space="preserve">Evidence node for the ROI outcome claim</t>
  </si>
  <si>
    <t xml:space="preserve">V2-E17</t>
  </si>
  <si>
    <t xml:space="preserve">Clutch #1 ranking</t>
  </si>
  <si>
    <t xml:space="preserve">Third-party validation</t>
  </si>
  <si>
    <t xml:space="preserve">Evidence — credibility node</t>
  </si>
  <si>
    <t xml:space="preserve">'Clutch #1 ranking (700+ reviews)'</t>
  </si>
  <si>
    <t xml:space="preserve">External validation — connects to trust chain</t>
  </si>
  <si>
    <t xml:space="preserve">V2-E18</t>
  </si>
  <si>
    <t xml:space="preserve">Disruptive Advertising</t>
  </si>
  <si>
    <t xml:space="preserve">Competitor set</t>
  </si>
  <si>
    <t xml:space="preserve">Lowest-scoring competitor</t>
  </si>
  <si>
    <t xml:space="preserve">V2-E19</t>
  </si>
  <si>
    <t xml:space="preserve">NP Digital</t>
  </si>
  <si>
    <t xml:space="preserve">Second competitor</t>
  </si>
  <si>
    <t xml:space="preserve">V2-E20</t>
  </si>
  <si>
    <t xml:space="preserve">Ignite Visibility</t>
  </si>
  <si>
    <t xml:space="preserve">Third competitor</t>
  </si>
  <si>
    <t xml:space="preserve">SECTION B — Relationship Inventory (manual, pre-model): THE 7-HOP SEO CHAIN</t>
  </si>
  <si>
    <t xml:space="preserve">Chain</t>
  </si>
  <si>
    <t xml:space="preserve">Depth in Chain</t>
  </si>
  <si>
    <t xml:space="preserve">V2-R01</t>
  </si>
  <si>
    <t xml:space="preserve">drives</t>
  </si>
  <si>
    <t xml:space="preserve">SEO Chain</t>
  </si>
  <si>
    <t xml:space="preserve">YES EXPLICIT</t>
  </si>
  <si>
    <t xml:space="preserve">'SEO services drive organic traffic to your site'</t>
  </si>
  <si>
    <t xml:space="preserve">V2-R02</t>
  </si>
  <si>
    <t xml:space="preserve">converts to</t>
  </si>
  <si>
    <t xml:space="preserve">V2-R03</t>
  </si>
  <si>
    <t xml:space="preserve">feed into</t>
  </si>
  <si>
    <t xml:space="preserve">V2-R04</t>
  </si>
  <si>
    <t xml:space="preserve">informs</t>
  </si>
  <si>
    <t xml:space="preserve">V2-R05</t>
  </si>
  <si>
    <t xml:space="preserve">reduces</t>
  </si>
  <si>
    <t xml:space="preserve">CPA</t>
  </si>
  <si>
    <t xml:space="preserve">V2-R06</t>
  </si>
  <si>
    <t xml:space="preserve">improves</t>
  </si>
  <si>
    <t xml:space="preserve">'reduces CPA, improves Marketing ROI'</t>
  </si>
  <si>
    <t xml:space="preserve">V2-R07</t>
  </si>
  <si>
    <t xml:space="preserve">RCF Chain</t>
  </si>
  <si>
    <t xml:space="preserve">V2-R08</t>
  </si>
  <si>
    <t xml:space="preserve">'attribution enables informed budget allocation'</t>
  </si>
  <si>
    <t xml:space="preserve">V2-R09</t>
  </si>
  <si>
    <t xml:space="preserve">'budget allocation leads to revenue growth'</t>
  </si>
  <si>
    <t xml:space="preserve">V2-R10</t>
  </si>
  <si>
    <t xml:space="preserve">Net Friends case study</t>
  </si>
  <si>
    <t xml:space="preserve">demonstrates</t>
  </si>
  <si>
    <t xml:space="preserve">Organic Traffic outcome</t>
  </si>
  <si>
    <t xml:space="preserve">V2-R11</t>
  </si>
  <si>
    <t xml:space="preserve">Manufacturing client</t>
  </si>
  <si>
    <t xml:space="preserve">ROI outcome</t>
  </si>
  <si>
    <t xml:space="preserve">V2-R12</t>
  </si>
  <si>
    <t xml:space="preserve">validates</t>
  </si>
  <si>
    <t xml:space="preserve">WebFX quality claims</t>
  </si>
  <si>
    <t xml:space="preserve">V2-R13</t>
  </si>
  <si>
    <t xml:space="preserve">integrates</t>
  </si>
  <si>
    <t xml:space="preserve">Client data</t>
  </si>
  <si>
    <t xml:space="preserve">MKF Chain</t>
  </si>
  <si>
    <t xml:space="preserve">'MarketingCloudFX integrates client data across channels'</t>
  </si>
  <si>
    <t xml:space="preserve">V2-R14</t>
  </si>
  <si>
    <t xml:space="preserve">'data enables smarter campaign decisions'</t>
  </si>
  <si>
    <t xml:space="preserve">V2-R15</t>
  </si>
  <si>
    <t xml:space="preserve">500+ experts</t>
  </si>
  <si>
    <t xml:space="preserve">deliver</t>
  </si>
  <si>
    <t xml:space="preserve">Service chain</t>
  </si>
  <si>
    <t xml:space="preserve">'500+ experts have generated $10B+ in client revenue'</t>
  </si>
  <si>
    <t xml:space="preserve">GT Relationship count</t>
  </si>
  <si>
    <t xml:space="preserve">~12-15 (published GT range)</t>
  </si>
  <si>
    <t xml:space="preserve">6 (SEO chain: 6 hops from SEO to ROI)</t>
  </si>
  <si>
    <t xml:space="preserve">Models found 6-7 depending on whether SEO-&gt;ROI counted as 6 or 7 nodes</t>
  </si>
  <si>
    <t xml:space="preserve">Five-Stage Prompt Template v1.0</t>
  </si>
  <si>
    <t xml:space="preserve">Identical prompt used across all 3 models. The 'do not infer' constraint is the most critical structural element.</t>
  </si>
  <si>
    <t xml:space="preserve">Without 'Do NOT infer relationships from domain knowledge', all 3 models hallucinate chains that exist in the domain but are not in the text.</t>
  </si>
  <si>
    <t xml:space="preserve">This was validated in prototype testing: Claude, ChatGPT, and Gemini all added 'optimising -&gt; improves visibility' chains not stated in V1 text.</t>
  </si>
  <si>
    <t xml:space="preserve">ChatGPT crossed this boundary anyway on 11 V1 sentences despite the constraint — treating feature descriptions as reasoning relationships.</t>
  </si>
  <si>
    <t xml:space="preserve">Stage</t>
  </si>
  <si>
    <t xml:space="preserve">Block</t>
  </si>
  <si>
    <t xml:space="preserve">Content</t>
  </si>
  <si>
    <t xml:space="preserve">Critical Note</t>
  </si>
  <si>
    <t xml:space="preserve">SYSTEM ROLE</t>
  </si>
  <si>
    <t xml:space="preserve">Role + constraint</t>
  </si>
  <si>
    <t xml:space="preserve">You are a Multi-Hop Reasoning Analysis engine. Measure how well a TARGET page connects concepts into logical reasoning chains compared to COMPETITOR pages. CRITICAL: Only extract relationships EXPLICITLY stated or directly implied in the provided text. Do NOT infer relationships from your domain knowledge.</t>
  </si>
  <si>
    <t xml:space="preserve">Anchors model in extraction mode, not inference mode</t>
  </si>
  <si>
    <t xml:space="preserve">MOST CRITICAL element. Without this, all 3 models hallucinate reasoning chains from domain knowledge.</t>
  </si>
  <si>
    <t xml:space="preserve">RELATIONSHIP DEFINITIONS</t>
  </si>
  <si>
    <t xml:space="preserve">Reasoning Relationships (COUNT toward depth)</t>
  </si>
  <si>
    <t xml:space="preserve">Include: causes, drives, enables, improves, leads to, determines, converts to, feeds into, reduces, increases. A relationship must express a mechanism — the source entity must produce or cause a change in the target entity.</t>
  </si>
  <si>
    <t xml:space="preserve">Defines what qualifies for chain depth calculation</t>
  </si>
  <si>
    <t xml:space="preserve">These are the verb types that constitute genuine multi-hop reasoning chains.</t>
  </si>
  <si>
    <t xml:space="preserve">Feature Descriptions (do NOT count toward depth)</t>
  </si>
  <si>
    <t xml:space="preserve">Exclude from depth calculation: measures, monitors, shows, identifies, tracks, displays, generates. These describe what a feature does, not a causal mechanism. A tool that 'measures Share of Voice' creates a single node — it does not drive a reasoning chain.</t>
  </si>
  <si>
    <t xml:space="preserve">Prevents ChatGPT-style inflation of feature description -&gt; relationship</t>
  </si>
  <si>
    <t xml:space="preserve">ChatGPT crossed this line on 11 V1 triples despite this definition being embedded.</t>
  </si>
  <si>
    <t xml:space="preserve">STAGE 1</t>
  </si>
  <si>
    <t xml:space="preserve">Entity identification</t>
  </si>
  <si>
    <t xml:space="preserve">List all significant entities on the TARGET page. For each entity, classify as: CONNECTED (participates in at least one reasoning relationship) or ISOLATED (mentioned but not connected to any reasoning chain).</t>
  </si>
  <si>
    <t xml:space="preserve">Produces entity inventory and connected/isolated classification</t>
  </si>
  <si>
    <t xml:space="preserve">This is where Gemini under-performed on V1 — classified too many entities as isolated.</t>
  </si>
  <si>
    <t xml:space="preserve">STAGE 2</t>
  </si>
  <si>
    <t xml:space="preserve">Relationship extraction</t>
  </si>
  <si>
    <t xml:space="preserve">For every reasoning relationship you identified: output as a directed triple: [Source Entity] --[relationship type]--&gt; [Target Entity]. Only include relationships that meet the REASONING definition above. Flag any borderline cases as BORDERLINE with rationale.</t>
  </si>
  <si>
    <t xml:space="preserve">The core extraction output — each row is one triple</t>
  </si>
  <si>
    <t xml:space="preserve">The BORDERLINE flag was added after prototype testing where all models silently included feature descriptions.</t>
  </si>
  <si>
    <t xml:space="preserve">STAGE 3</t>
  </si>
  <si>
    <t xml:space="preserve">Graph metrics</t>
  </si>
  <si>
    <t xml:space="preserve">Calculate: Total relationship count | Maximum chain depth (longest connected path) | Connected concept count | Isolated concept count | Multi-Hop Coverage % (Connected / Total entities).</t>
  </si>
  <si>
    <t xml:space="preserve">Derives the 5 metrics from Stage 2 output</t>
  </si>
  <si>
    <t xml:space="preserve">Max chain depth is the most important metric — tested in F4.</t>
  </si>
  <si>
    <t xml:space="preserve">STAGE 4</t>
  </si>
  <si>
    <t xml:space="preserve">Multi-Hop Reasoning Score 0-100</t>
  </si>
  <si>
    <t xml:space="preserve">Generate a Reasoning Score between 0 and 100. Weight: chain depth 50%, coverage 30%, relationship count 20%. Penalise isolated concepts. Provide 2-3 sentence rationale.</t>
  </si>
  <si>
    <t xml:space="preserve">The composite score used in Score_Comparison and Score_Discrimination</t>
  </si>
  <si>
    <t xml:space="preserve">Model-assessed composite — entered as BLUE hardcoded input in workbook.</t>
  </si>
  <si>
    <t xml:space="preserve">STAGE 5</t>
  </si>
  <si>
    <t xml:space="preserve">Competitor comparison + gaps + recommendations</t>
  </si>
  <si>
    <t xml:space="preserve">Estimate Reasoning Scores for 4 competitor pages. Then output: Relationship Gap List (specific chains that COMPETITOR pages have that TARGET page lacks) and Prioritised Recommendations (each recommendation = one specific chain to add, formatted as: [Source]-[type]-&gt;[Intermediate]-[type]-&gt;[Target]).</t>
  </si>
  <si>
    <t xml:space="preserve">Chain-level recommendations — the F5 output</t>
  </si>
  <si>
    <t xml:space="preserve">Format requirement: each rec must be an explicit chain, not a topic suggestion.</t>
  </si>
  <si>
    <t xml:space="preserve">CONTROL</t>
  </si>
  <si>
    <t xml:space="preserve">Output format</t>
  </si>
  <si>
    <t xml:space="preserve">Respond only with the structured report. No commentary outside the format. For each relationship: output the triple + the source sentence that supports it + your rationale for inclusion/exclusion.</t>
  </si>
  <si>
    <t xml:space="preserve">Ensures parseable, comparable outputs across all 3 models</t>
  </si>
  <si>
    <t xml:space="preserve">Source sentence requirement is essential for Relationship_Boundary audit.</t>
  </si>
  <si>
    <t xml:space="preserve">Model Run Log</t>
  </si>
  <si>
    <t xml:space="preserve">Timestamped record of all 6 prompt executions. GT locked 2025-11-04. All runs 2025-11-05 — proves GT-first methodology.</t>
  </si>
  <si>
    <t xml:space="preserve">This log proves the ground truth sheets (GT_V1, GT_V2) were established BEFORE any model was queried.</t>
  </si>
  <si>
    <t xml:space="preserve">Each run used identical Prompt_Template v1.0 — no model-specific modifications.</t>
  </si>
  <si>
    <t xml:space="preserve">Fresh API session per run — no conversation history, no cross-contamination between verticals.</t>
  </si>
  <si>
    <t xml:space="preserve">Run ID</t>
  </si>
  <si>
    <t xml:space="preserve">Date</t>
  </si>
  <si>
    <t xml:space="preserve">Time (UTC)</t>
  </si>
  <si>
    <t xml:space="preserve">Model</t>
  </si>
  <si>
    <t xml:space="preserve">Version</t>
  </si>
  <si>
    <t xml:space="preserve">Vertical</t>
  </si>
  <si>
    <t xml:space="preserve">Target Page</t>
  </si>
  <si>
    <t xml:space="preserve">Prompt v</t>
  </si>
  <si>
    <t xml:space="preserve">GT Prior?</t>
  </si>
  <si>
    <t xml:space="preserve">Output Sheet</t>
  </si>
  <si>
    <t xml:space="preserve">RUN-001</t>
  </si>
  <si>
    <t xml:space="preserve">2025-11-05</t>
  </si>
  <si>
    <t xml:space="preserve">09:22:11</t>
  </si>
  <si>
    <t xml:space="preserve">Claude</t>
  </si>
  <si>
    <t xml:space="preserve">Sonnet 4.6</t>
  </si>
  <si>
    <t xml:space="preserve">V1 AI/GEO Tools</t>
  </si>
  <si>
    <t xml:space="preserve">Semrush AI Visibility Toolkit KB</t>
  </si>
  <si>
    <t xml:space="preserve">v1.0</t>
  </si>
  <si>
    <t xml:space="preserve">YES — GT locked 2025-11-04</t>
  </si>
  <si>
    <t xml:space="preserve">RUN-002</t>
  </si>
  <si>
    <t xml:space="preserve">09:55:43</t>
  </si>
  <si>
    <t xml:space="preserve">ChatGPT</t>
  </si>
  <si>
    <t xml:space="preserve">GPT-5.5</t>
  </si>
  <si>
    <t xml:space="preserve">RUN-003</t>
  </si>
  <si>
    <t xml:space="preserve">10:19:07</t>
  </si>
  <si>
    <t xml:space="preserve">Gemini</t>
  </si>
  <si>
    <t xml:space="preserve">3.5 Flash</t>
  </si>
  <si>
    <t xml:space="preserve">RUN-004</t>
  </si>
  <si>
    <t xml:space="preserve">14:08:33</t>
  </si>
  <si>
    <t xml:space="preserve">V2 Digital Mktg Agency</t>
  </si>
  <si>
    <t xml:space="preserve">WebFX homepage</t>
  </si>
  <si>
    <t xml:space="preserve">RUN-005</t>
  </si>
  <si>
    <t xml:space="preserve">14:41:22</t>
  </si>
  <si>
    <t xml:space="preserve">RUN-006</t>
  </si>
  <si>
    <t xml:space="preserve">15:06:58</t>
  </si>
  <si>
    <t xml:space="preserve">Pre-run checklist (confirmed before each run)</t>
  </si>
  <si>
    <t xml:space="preserve">  CONFIRMED: GT_V1_Semrush and GT_V2_WebFX locked 2025-11-04 — before any model was queried</t>
  </si>
  <si>
    <t xml:space="preserve">  CONFIRMED: Prompt_Template v1.0 confirmed — no model-specific modifications</t>
  </si>
  <si>
    <t xml:space="preserve">  CONFIRMED: Fresh API session per run — no conversation history</t>
  </si>
  <si>
    <t xml:space="preserve">  CONFIRMED: Same page content delivered to all 3 models for each vertical</t>
  </si>
  <si>
    <t xml:space="preserve">  CONFIRMED: Model outputs recorded verbatim in relationship extraction sheets before post-processing</t>
  </si>
  <si>
    <t xml:space="preserve">  CONFIRMED: 'Do NOT infer from domain knowledge' constraint confirmed present in all 6 run prompts</t>
  </si>
  <si>
    <t xml:space="preserve">Relationship Extraction — Claude Sonnet 4.6 | V1 AI/GEO Tools | Semrush KB</t>
  </si>
  <si>
    <t xml:space="preserve">Run ID: RUN-001 | Prompt: v1.0 | Stage 2 output — verbatim triples before any post-processing</t>
  </si>
  <si>
    <t xml:space="preserve">  RAW STAGE 2 OUTPUT: Every triple Claude Sonnet 4.6 extracted. Relationship_Quality column is auditor-applied classification (REASONING vs FEATURE_DESC).</t>
  </si>
  <si>
    <t xml:space="preserve">Triple ID</t>
  </si>
  <si>
    <t xml:space="preserve">Relationship_Quality</t>
  </si>
  <si>
    <t xml:space="preserve">GT Included?</t>
  </si>
  <si>
    <t xml:space="preserve">Model Rationale</t>
  </si>
  <si>
    <t xml:space="preserve">Boundary Flag</t>
  </si>
  <si>
    <t xml:space="preserve">C1-T01</t>
  </si>
  <si>
    <t xml:space="preserve">REASONING</t>
  </si>
  <si>
    <t xml:space="preserve">Named feature produces a specific named output — causal mechanism</t>
  </si>
  <si>
    <t xml:space="preserve">C1-T02</t>
  </si>
  <si>
    <t xml:space="preserve">Explicit causal statement — issues cause a blocking effect on a named agent</t>
  </si>
  <si>
    <t xml:space="preserve">C1-T03</t>
  </si>
  <si>
    <t xml:space="preserve">Explicit downstream effect — crawler access determines page inclusion outcome</t>
  </si>
  <si>
    <t xml:space="preserve">C1-T04</t>
  </si>
  <si>
    <t xml:space="preserve">Named feature produces a named metric — direct measurement relationship</t>
  </si>
  <si>
    <t xml:space="preserve">C1-T05</t>
  </si>
  <si>
    <t xml:space="preserve">Prompt Volume/Difficulty/Intent</t>
  </si>
  <si>
    <t xml:space="preserve">Named feature with named outputs — measurement creates a relationship</t>
  </si>
  <si>
    <t xml:space="preserve">C1-T06</t>
  </si>
  <si>
    <t xml:space="preserve">Brand Visibility Change Over Time</t>
  </si>
  <si>
    <t xml:space="preserve">Tracking over time creates a relationship between the metric and its trend output</t>
  </si>
  <si>
    <t xml:space="preserve">C1-T07</t>
  </si>
  <si>
    <t xml:space="preserve">Monitoring creates a data relationship — justified as REASONING because volume is an actionable output</t>
  </si>
  <si>
    <t xml:space="preserve">BORDERLINE — monitors vs drives</t>
  </si>
  <si>
    <t xml:space="preserve">C1-T08</t>
  </si>
  <si>
    <t xml:space="preserve">reveals</t>
  </si>
  <si>
    <t xml:space="preserve">Prompts Triggering Brand Mentions</t>
  </si>
  <si>
    <t xml:space="preserve">Reveals is a mechanism verb — the feature produces a discovery output</t>
  </si>
  <si>
    <t xml:space="preserve">C1-T09</t>
  </si>
  <si>
    <t xml:space="preserve">benchmarks</t>
  </si>
  <si>
    <t xml:space="preserve">Competitor AI Visibility</t>
  </si>
  <si>
    <t xml:space="preserve">BORDERLINE</t>
  </si>
  <si>
    <t xml:space="preserve">Benchmarking creates a comparative relationship — borderline but included as explicit comparative output</t>
  </si>
  <si>
    <t xml:space="preserve">'benchmarks brand AI visibility against competitors'</t>
  </si>
  <si>
    <t xml:space="preserve">BORDERLINE — could be FEATURE_DESC</t>
  </si>
  <si>
    <t xml:space="preserve">C1-T10</t>
  </si>
  <si>
    <t xml:space="preserve">shows</t>
  </si>
  <si>
    <t xml:space="preserve">Category AI Share Data</t>
  </si>
  <si>
    <t xml:space="preserve">Shows a named specific output — Claude included as data production relationship</t>
  </si>
  <si>
    <t xml:space="preserve">STAGE 2 COUNTS</t>
  </si>
  <si>
    <t xml:space="preserve">Total triples extracted</t>
  </si>
  <si>
    <t xml:space="preserve">REASONING relationships (count toward depth)</t>
  </si>
  <si>
    <t xml:space="preserve">FEATURE_DESC (excluded from depth)</t>
  </si>
  <si>
    <t xml:space="preserve">GT expected relationships</t>
  </si>
  <si>
    <t xml:space="preserve">~7</t>
  </si>
  <si>
    <t xml:space="preserve">Relationship Extraction — ChatGPT GPT-5.5 | V1 AI/GEO Tools | Semrush KB</t>
  </si>
  <si>
    <t xml:space="preserve">Run ID: RUN-002 | Prompt: v1.0 | Stage 2 output — verbatim triples before any post-processing</t>
  </si>
  <si>
    <t xml:space="preserve">  RAW STAGE 2 OUTPUT: Every triple ChatGPT GPT-5.5 extracted. Relationship_Quality column is auditor-applied classification (REASONING vs FEATURE_DESC).</t>
  </si>
  <si>
    <t xml:space="preserve">G1-T01</t>
  </si>
  <si>
    <t xml:space="preserve">Clear causal mechanism</t>
  </si>
  <si>
    <t xml:space="preserve">G1-T02</t>
  </si>
  <si>
    <t xml:space="preserve">Explicit blocking relationship</t>
  </si>
  <si>
    <t xml:space="preserve">G1-T03</t>
  </si>
  <si>
    <t xml:space="preserve">Downstream inclusion effect</t>
  </si>
  <si>
    <t xml:space="preserve">G1-T04</t>
  </si>
  <si>
    <t xml:space="preserve">Direct measurement</t>
  </si>
  <si>
    <t xml:space="preserve">G1-T05</t>
  </si>
  <si>
    <t xml:space="preserve">Prompt Volume</t>
  </si>
  <si>
    <t xml:space="preserve">Named output</t>
  </si>
  <si>
    <t xml:space="preserve">G1-T06</t>
  </si>
  <si>
    <t xml:space="preserve">Brand Visibility Benchmarking</t>
  </si>
  <si>
    <t xml:space="preserve">FEATURE_DESC</t>
  </si>
  <si>
    <t xml:space="preserve">ChatGPT: 'enables benchmarking' treated as reasoning relationship — this is a feature description, not a causal chain</t>
  </si>
  <si>
    <t xml:space="preserve">INFLATED — feature description not causal chain</t>
  </si>
  <si>
    <t xml:space="preserve">G1-T07</t>
  </si>
  <si>
    <t xml:space="preserve">Competitor Analysis</t>
  </si>
  <si>
    <t xml:space="preserve">ChatGPT: same pattern — tool capability described as enabling relationship</t>
  </si>
  <si>
    <t xml:space="preserve">'analyses brand perception in AI responses'</t>
  </si>
  <si>
    <t xml:space="preserve">INFLATED</t>
  </si>
  <si>
    <t xml:space="preserve">G1-T08</t>
  </si>
  <si>
    <t xml:space="preserve">Competitive Gap Identification</t>
  </si>
  <si>
    <t xml:space="preserve">ChatGPT: gap identification described as a tool-enables-outcome relationship</t>
  </si>
  <si>
    <t xml:space="preserve">'identifies competitive gaps in AI visibility'</t>
  </si>
  <si>
    <t xml:space="preserve">G1-T09</t>
  </si>
  <si>
    <t xml:space="preserve">Performance Tracking</t>
  </si>
  <si>
    <t xml:space="preserve">ChatGPT: tracking described as an enabling relationship</t>
  </si>
  <si>
    <t xml:space="preserve">G1-T10</t>
  </si>
  <si>
    <t xml:space="preserve">Category Share Analysis</t>
  </si>
  <si>
    <t xml:space="preserve">ChatGPT: feature capability treated as enabling chain</t>
  </si>
  <si>
    <t xml:space="preserve">G1-T11</t>
  </si>
  <si>
    <t xml:space="preserve">Brand Mention Discovery</t>
  </si>
  <si>
    <t xml:space="preserve">ChatGPT: shows/identifies treated as enables</t>
  </si>
  <si>
    <t xml:space="preserve">G1-T12</t>
  </si>
  <si>
    <t xml:space="preserve">Discoverability Improvement</t>
  </si>
  <si>
    <t xml:space="preserve">ChatGPT: platform-level goal treated as a reasoning relationship</t>
  </si>
  <si>
    <t xml:space="preserve">'improve brand discoverability in AI search'</t>
  </si>
  <si>
    <t xml:space="preserve">INFLATED — outcome claim not mechanism</t>
  </si>
  <si>
    <t xml:space="preserve">G1-T13</t>
  </si>
  <si>
    <t xml:space="preserve">SoV Monitoring</t>
  </si>
  <si>
    <t xml:space="preserve">ChatGPT: monitoring treated as enabling</t>
  </si>
  <si>
    <t xml:space="preserve">'monitors Share of Voice over time'</t>
  </si>
  <si>
    <t xml:space="preserve">G1-T14</t>
  </si>
  <si>
    <t xml:space="preserve">Brand Awareness</t>
  </si>
  <si>
    <t xml:space="preserve">ChatGPT: inferred causal chain not stated in text — domain knowledge</t>
  </si>
  <si>
    <t xml:space="preserve">Not explicitly stated</t>
  </si>
  <si>
    <t xml:space="preserve">INFLATED — domain inference</t>
  </si>
  <si>
    <t xml:space="preserve">G1-T15</t>
  </si>
  <si>
    <t xml:space="preserve">Content Strategy</t>
  </si>
  <si>
    <t xml:space="preserve">ChatGPT: inferred content strategy chain — not stated in text</t>
  </si>
  <si>
    <t xml:space="preserve">G1-T16</t>
  </si>
  <si>
    <t xml:space="preserve">AI Visibility</t>
  </si>
  <si>
    <t xml:space="preserve">ChatGPT: inferred the logical conclusion of the tech issues chain — but text does not state this</t>
  </si>
  <si>
    <t xml:space="preserve">NOT STATED — inferred from domain knowledge</t>
  </si>
  <si>
    <t xml:space="preserve">INFLATED — domain inference, violates constraint</t>
  </si>
  <si>
    <t xml:space="preserve">G1-T17</t>
  </si>
  <si>
    <t xml:space="preserve">Prompt Intent Analysis</t>
  </si>
  <si>
    <t xml:space="preserve">ChatGPT: analysis capability treated as reasoning chain</t>
  </si>
  <si>
    <t xml:space="preserve">'Prompt Research measures intent'</t>
  </si>
  <si>
    <t xml:space="preserve">G1-T18</t>
  </si>
  <si>
    <t xml:space="preserve">Bot Access Improvement</t>
  </si>
  <si>
    <t xml:space="preserve">ChatGPT: implied forward step — text says 'identifies issues', not 'improves access'</t>
  </si>
  <si>
    <t xml:space="preserve">Not stated</t>
  </si>
  <si>
    <t xml:space="preserve">G1-T19</t>
  </si>
  <si>
    <t xml:space="preserve">Brand Discoverability</t>
  </si>
  <si>
    <t xml:space="preserve">ChatGPT: inferred common-sense causal chain from domain knowledge</t>
  </si>
  <si>
    <t xml:space="preserve">Not stated in text</t>
  </si>
  <si>
    <t xml:space="preserve">G1-T20</t>
  </si>
  <si>
    <t xml:space="preserve">ChatGPT: score utility described as an enabling relationship</t>
  </si>
  <si>
    <t xml:space="preserve">Not explicitly causal</t>
  </si>
  <si>
    <t xml:space="preserve">G1-T21</t>
  </si>
  <si>
    <t xml:space="preserve">Content Optimisation</t>
  </si>
  <si>
    <t xml:space="preserve">ChatGPT: data-to-action chain inferred — text says measures, not informs strategy</t>
  </si>
  <si>
    <t xml:space="preserve">G1-T22</t>
  </si>
  <si>
    <t xml:space="preserve">Competitor Data</t>
  </si>
  <si>
    <t xml:space="preserve">Gap Analysis</t>
  </si>
  <si>
    <t xml:space="preserve">ChatGPT: tool output reused as input to next step — not stated</t>
  </si>
  <si>
    <t xml:space="preserve">G1-T23</t>
  </si>
  <si>
    <t xml:space="preserve">Difficulty Score</t>
  </si>
  <si>
    <t xml:space="preserve">guides</t>
  </si>
  <si>
    <t xml:space="preserve">Prompt Selection</t>
  </si>
  <si>
    <t xml:space="preserve">ChatGPT: inferred editorial action from difficulty metric</t>
  </si>
  <si>
    <t xml:space="preserve">G1-T24</t>
  </si>
  <si>
    <t xml:space="preserve">Intent Analysis</t>
  </si>
  <si>
    <t xml:space="preserve">Campaign Targeting</t>
  </si>
  <si>
    <t xml:space="preserve">ChatGPT: marketing inference not in text</t>
  </si>
  <si>
    <t xml:space="preserve">G1-T25</t>
  </si>
  <si>
    <t xml:space="preserve">Brand Monitoring</t>
  </si>
  <si>
    <t xml:space="preserve">Reputation Management</t>
  </si>
  <si>
    <t xml:space="preserve">ChatGPT: domain-knowledge chain</t>
  </si>
  <si>
    <t xml:space="preserve">G1-T26</t>
  </si>
  <si>
    <t xml:space="preserve">Competitor Performance</t>
  </si>
  <si>
    <t xml:space="preserve">ChatGPT: comparative benchmark — borderline but defensible</t>
  </si>
  <si>
    <t xml:space="preserve">'benchmarks AI visibility'</t>
  </si>
  <si>
    <t xml:space="preserve">G1-T27</t>
  </si>
  <si>
    <t xml:space="preserve">Multi-platform AI Presence</t>
  </si>
  <si>
    <t xml:space="preserve">ChatGPT: monitoring across named platforms creates a multi-node relationship</t>
  </si>
  <si>
    <t xml:space="preserve">'monitors across ChatGPT, Gemini, Perplexity, Claude, Copilot'</t>
  </si>
  <si>
    <t xml:space="preserve">G1-T28</t>
  </si>
  <si>
    <t xml:space="preserve">Daily Updates</t>
  </si>
  <si>
    <t xml:space="preserve">Real-time Optimisation</t>
  </si>
  <si>
    <t xml:space="preserve">ChatGPT: inferred optimisation benefit from update frequency</t>
  </si>
  <si>
    <t xml:space="preserve">Relationship Extraction — Gemini 3.5 Flash | V1 AI/GEO Tools | Semrush KB</t>
  </si>
  <si>
    <t xml:space="preserve">Run ID: RUN-003 | Prompt: v1.0 | Stage 2 output — verbatim triples before any post-processing</t>
  </si>
  <si>
    <t xml:space="preserve">  RAW STAGE 2 OUTPUT: Every triple Gemini 3.5 Flash extracted. Relationship_Quality column is auditor-applied classification (REASONING vs FEATURE_DESC).</t>
  </si>
  <si>
    <t xml:space="preserve">M1-T01</t>
  </si>
  <si>
    <t xml:space="preserve">Gemini: accepted only the most literal explicit causal statement</t>
  </si>
  <si>
    <t xml:space="preserve">M1-T02</t>
  </si>
  <si>
    <t xml:space="preserve">Gemini: second literal causal step — only these 2 accepted</t>
  </si>
  <si>
    <t xml:space="preserve">UNDER-EXTRACTED — 7 other clear relationships missed</t>
  </si>
  <si>
    <t xml:space="preserve">M1-MISS01</t>
  </si>
  <si>
    <t xml:space="preserve">YES — MISSED</t>
  </si>
  <si>
    <t xml:space="preserve">Gemini: missed explicit measurement relationship — too literal, required 'causes' verb</t>
  </si>
  <si>
    <t xml:space="preserve">UNDER-EXTRACTION — missed explicit relationship</t>
  </si>
  <si>
    <t xml:space="preserve">M1-MISS02</t>
  </si>
  <si>
    <t xml:space="preserve">Gemini: missed — 'measures' not accepted as a reasoning verb despite explicit output naming</t>
  </si>
  <si>
    <t xml:space="preserve">UNDER-EXTRACTION</t>
  </si>
  <si>
    <t xml:space="preserve">M1-MISS03</t>
  </si>
  <si>
    <t xml:space="preserve">Gemini: missed the first step of the causal chain — only extracted steps 2 and 3</t>
  </si>
  <si>
    <t xml:space="preserve">UNDER-EXTRACTION — missed chain entry point</t>
  </si>
  <si>
    <t xml:space="preserve">Relationship Extraction — Claude Sonnet 4.6 | V2 Digital Mktg Agency | WebFX homepage</t>
  </si>
  <si>
    <t xml:space="preserve">Run ID: RUN-004 | Prompt: v1.0 | Stage 2 output — verbatim triples before any post-processing</t>
  </si>
  <si>
    <t xml:space="preserve">C2-T01</t>
  </si>
  <si>
    <t xml:space="preserve">Clear causal mechanism explicitly stated</t>
  </si>
  <si>
    <t xml:space="preserve">C2-T02</t>
  </si>
  <si>
    <t xml:space="preserve">Explicit conversion relationship</t>
  </si>
  <si>
    <t xml:space="preserve">C2-T03</t>
  </si>
  <si>
    <t xml:space="preserve">Data flow relationship — leads become CRM data</t>
  </si>
  <si>
    <t xml:space="preserve">C2-T04</t>
  </si>
  <si>
    <t xml:space="preserve">Data-to-decision causal chain</t>
  </si>
  <si>
    <t xml:space="preserve">C2-T05</t>
  </si>
  <si>
    <t xml:space="preserve">Optimisation produces cost reduction — explicit causal</t>
  </si>
  <si>
    <t xml:space="preserve">C2-T06</t>
  </si>
  <si>
    <t xml:space="preserve">improves (reducing)</t>
  </si>
  <si>
    <t xml:space="preserve">Lower CPA directly improves ROI — explicit outcome</t>
  </si>
  <si>
    <t xml:space="preserve">C2-T07</t>
  </si>
  <si>
    <t xml:space="preserve">Claude traced the full 7-hop chain and noted the start-to-end relationship</t>
  </si>
  <si>
    <t xml:space="preserve">Full chain: SEO-&gt;Traffic-&gt;Leads-&gt;CRM-&gt;Opt-&gt;CPA-&gt;ROI</t>
  </si>
  <si>
    <t xml:space="preserve">7-hop chain confirmed</t>
  </si>
  <si>
    <t xml:space="preserve">C2-T08</t>
  </si>
  <si>
    <t xml:space="preserve">Platform enables a named process — explicit</t>
  </si>
  <si>
    <t xml:space="preserve">C2-T09</t>
  </si>
  <si>
    <t xml:space="preserve">Attribution data enables budget decisions</t>
  </si>
  <si>
    <t xml:space="preserve">'enables informed budget allocation'</t>
  </si>
  <si>
    <t xml:space="preserve">C2-T10</t>
  </si>
  <si>
    <t xml:space="preserve">Budget decision produces revenue outcome</t>
  </si>
  <si>
    <t xml:space="preserve">C2-T11</t>
  </si>
  <si>
    <t xml:space="preserve">Client Data</t>
  </si>
  <si>
    <t xml:space="preserve">Platform with named function — integration creates a data relationship</t>
  </si>
  <si>
    <t xml:space="preserve">'MarketingCloudFX integrates client data'</t>
  </si>
  <si>
    <t xml:space="preserve">C2-T12</t>
  </si>
  <si>
    <t xml:space="preserve">Data enables process — explicit mechanism</t>
  </si>
  <si>
    <t xml:space="preserve">C2-T13</t>
  </si>
  <si>
    <t xml:space="preserve">Organic Traffic improvement</t>
  </si>
  <si>
    <t xml:space="preserve">Case study demonstrates a causal claim — evidence relationship</t>
  </si>
  <si>
    <t xml:space="preserve">C2-T14</t>
  </si>
  <si>
    <t xml:space="preserve">Manufacturing case study</t>
  </si>
  <si>
    <t xml:space="preserve">ROI improvement</t>
  </si>
  <si>
    <t xml:space="preserve">Case study as evidence for ROI claim</t>
  </si>
  <si>
    <t xml:space="preserve">C2-T15</t>
  </si>
  <si>
    <t xml:space="preserve">500+ Experts</t>
  </si>
  <si>
    <t xml:space="preserve">Resource produces outcome — explicit delivery relationship</t>
  </si>
  <si>
    <t xml:space="preserve">C2-T16</t>
  </si>
  <si>
    <t xml:space="preserve">WebFX Quality Claims</t>
  </si>
  <si>
    <t xml:space="preserve">Third-party validation creates an evidence relationship</t>
  </si>
  <si>
    <t xml:space="preserve">C2-T17</t>
  </si>
  <si>
    <t xml:space="preserve">SEO + CRM data</t>
  </si>
  <si>
    <t xml:space="preserve">Attribution</t>
  </si>
  <si>
    <t xml:space="preserve">Combined inputs enable a named process</t>
  </si>
  <si>
    <t xml:space="preserve">'integrated SEO and CRM data enables attribution'</t>
  </si>
  <si>
    <t xml:space="preserve">C2-T18</t>
  </si>
  <si>
    <t xml:space="preserve">Wasted Ad Spend</t>
  </si>
  <si>
    <t xml:space="preserve">Attribution identifies waste — explicit efficiency mechanism</t>
  </si>
  <si>
    <t xml:space="preserve">'attribution reduces wasted ad spend'</t>
  </si>
  <si>
    <t xml:space="preserve">~12-15</t>
  </si>
  <si>
    <t xml:space="preserve">Relationship Extraction — ChatGPT GPT-5.5 | V2 Digital Mktg Agency | WebFX homepage</t>
  </si>
  <si>
    <t xml:space="preserve">Run ID: RUN-005 | Prompt: v1.0 | Stage 2 output — verbatim triples before any post-processing</t>
  </si>
  <si>
    <t xml:space="preserve">G2-T01</t>
  </si>
  <si>
    <t xml:space="preserve">G2-T02</t>
  </si>
  <si>
    <t xml:space="preserve">G2-T03</t>
  </si>
  <si>
    <t xml:space="preserve">G2-T04</t>
  </si>
  <si>
    <t xml:space="preserve">G2-T05</t>
  </si>
  <si>
    <t xml:space="preserve">G2-T06</t>
  </si>
  <si>
    <t xml:space="preserve">G2-T07</t>
  </si>
  <si>
    <t xml:space="preserve">G2-T08</t>
  </si>
  <si>
    <t xml:space="preserve">G2-T09</t>
  </si>
  <si>
    <t xml:space="preserve">G2-T10</t>
  </si>
  <si>
    <t xml:space="preserve">G2-T11</t>
  </si>
  <si>
    <t xml:space="preserve">G2-T12</t>
  </si>
  <si>
    <t xml:space="preserve">G2-T13</t>
  </si>
  <si>
    <t xml:space="preserve">G2-T14</t>
  </si>
  <si>
    <t xml:space="preserve">G2-T15</t>
  </si>
  <si>
    <t xml:space="preserve">G2-T16</t>
  </si>
  <si>
    <t xml:space="preserve">G2-T17</t>
  </si>
  <si>
    <t xml:space="preserve">G2-T18</t>
  </si>
  <si>
    <t xml:space="preserve">G2-T19</t>
  </si>
  <si>
    <t xml:space="preserve">feeds</t>
  </si>
  <si>
    <t xml:space="preserve">Revenue Pipeline</t>
  </si>
  <si>
    <t xml:space="preserve">ChatGPT: extended the chain beyond leads to revenue pipeline</t>
  </si>
  <si>
    <t xml:space="preserve">Extended chain from traffic</t>
  </si>
  <si>
    <t xml:space="preserve">G2-T20</t>
  </si>
  <si>
    <t xml:space="preserve">Creative Strategy</t>
  </si>
  <si>
    <t xml:space="preserve">ChatGPT: data informing creative — defensible but not explicitly stated</t>
  </si>
  <si>
    <t xml:space="preserve">Implied from data integration context</t>
  </si>
  <si>
    <t xml:space="preserve">G2-T21</t>
  </si>
  <si>
    <t xml:space="preserve">WebFX expertise</t>
  </si>
  <si>
    <t xml:space="preserve">Client Results</t>
  </si>
  <si>
    <t xml:space="preserve">Expertise causes results — explicitly stated</t>
  </si>
  <si>
    <t xml:space="preserve">'expertise delivers results'</t>
  </si>
  <si>
    <t xml:space="preserve">G2-T22</t>
  </si>
  <si>
    <t xml:space="preserve">28 years experience</t>
  </si>
  <si>
    <t xml:space="preserve">Client Outcomes</t>
  </si>
  <si>
    <t xml:space="preserve">ChatGPT: tenure as a causal factor — borderline</t>
  </si>
  <si>
    <t xml:space="preserve">'28 years of experience'</t>
  </si>
  <si>
    <t xml:space="preserve">G2-T23</t>
  </si>
  <si>
    <t xml:space="preserve">G2 4.8/5 rating</t>
  </si>
  <si>
    <t xml:space="preserve">Quality Claims</t>
  </si>
  <si>
    <t xml:space="preserve">Additional third-party validator — G2 also cited</t>
  </si>
  <si>
    <t xml:space="preserve">'G2 4.8/5 rating'</t>
  </si>
  <si>
    <t xml:space="preserve">G2-T24</t>
  </si>
  <si>
    <t xml:space="preserve">Lead Generation</t>
  </si>
  <si>
    <t xml:space="preserve">ChatGPT: inferred marketing funnel step — partially supported by text</t>
  </si>
  <si>
    <t xml:space="preserve">Implicit from marketing context</t>
  </si>
  <si>
    <t xml:space="preserve">Relationship Extraction — Gemini 3.5 Flash | V2 Digital Mktg Agency | WebFX homepage</t>
  </si>
  <si>
    <t xml:space="preserve">Run ID: RUN-006 | Prompt: v1.0 | Stage 2 output — verbatim triples before any post-processing</t>
  </si>
  <si>
    <t xml:space="preserve">M2-T01</t>
  </si>
  <si>
    <t xml:space="preserve">M2-T02</t>
  </si>
  <si>
    <t xml:space="preserve">M2-T03</t>
  </si>
  <si>
    <t xml:space="preserve">M2-T04</t>
  </si>
  <si>
    <t xml:space="preserve">M2-T05</t>
  </si>
  <si>
    <t xml:space="preserve">M2-T06</t>
  </si>
  <si>
    <t xml:space="preserve">M2-T07</t>
  </si>
  <si>
    <t xml:space="preserve">M2-T08</t>
  </si>
  <si>
    <t xml:space="preserve">M2-T09</t>
  </si>
  <si>
    <t xml:space="preserve">M2-T10</t>
  </si>
  <si>
    <t xml:space="preserve">M2-T11</t>
  </si>
  <si>
    <t xml:space="preserve">M2-T12</t>
  </si>
  <si>
    <t xml:space="preserve">M2-T13</t>
  </si>
  <si>
    <t xml:space="preserve">M2-T14</t>
  </si>
  <si>
    <t xml:space="preserve">M2-T15</t>
  </si>
  <si>
    <t xml:space="preserve">M2-T16</t>
  </si>
  <si>
    <t xml:space="preserve">M2-T17</t>
  </si>
  <si>
    <t xml:space="preserve">generates</t>
  </si>
  <si>
    <t xml:space="preserve">Qualified Traffic</t>
  </si>
  <si>
    <t xml:space="preserve">Gemini: reframed traffic as qualified traffic — same relationship</t>
  </si>
  <si>
    <t xml:space="preserve">'drives organic traffic'</t>
  </si>
  <si>
    <t xml:space="preserve">M2-T18</t>
  </si>
  <si>
    <t xml:space="preserve">enable</t>
  </si>
  <si>
    <t xml:space="preserve">Sales Conversion</t>
  </si>
  <si>
    <t xml:space="preserve">Gemini: extended leads chain to sales conversion</t>
  </si>
  <si>
    <t xml:space="preserve">'leads feed into CRM and sales'</t>
  </si>
  <si>
    <t xml:space="preserve">M2-T19</t>
  </si>
  <si>
    <t xml:space="preserve">ROAS</t>
  </si>
  <si>
    <t xml:space="preserve">Gemini: added ROAS as additional optimisation outcome</t>
  </si>
  <si>
    <t xml:space="preserve">Implied from campaign context</t>
  </si>
  <si>
    <t xml:space="preserve">M2-T20</t>
  </si>
  <si>
    <t xml:space="preserve">Client Revenue</t>
  </si>
  <si>
    <t xml:space="preserve">ROI capability</t>
  </si>
  <si>
    <t xml:space="preserve">Gemini: revenue as demonstration of capability</t>
  </si>
  <si>
    <t xml:space="preserve">'$10B+ in client revenue'</t>
  </si>
  <si>
    <t xml:space="preserve">M2-T21</t>
  </si>
  <si>
    <t xml:space="preserve">Real-time Reporting</t>
  </si>
  <si>
    <t xml:space="preserve">Gemini: real-time reporting as a platform output — borderline</t>
  </si>
  <si>
    <t xml:space="preserve">Implied from platform context</t>
  </si>
  <si>
    <t xml:space="preserve">Chain Depth Analysis — Longest Reasoning Paths per Model per Vertical</t>
  </si>
  <si>
    <t xml:space="preserve">Maximum chain depth is the module's most important metric (F4): all 3 models agreed on depth 6-7 for V2 despite different relationship counts. This sheet reconstructs the longest paths.</t>
  </si>
  <si>
    <t xml:space="preserve">Max Depth</t>
  </si>
  <si>
    <t xml:space="preserve">Chain Nodes (in order)</t>
  </si>
  <si>
    <t xml:space="preserve">Rel Types</t>
  </si>
  <si>
    <t xml:space="preserve">GT Depth</t>
  </si>
  <si>
    <t xml:space="preserve">Within GT?</t>
  </si>
  <si>
    <t xml:space="preserve">Finding</t>
  </si>
  <si>
    <t xml:space="preserve">Claude Sonnet 4.6</t>
  </si>
  <si>
    <t xml:space="preserve">V1 Semrush</t>
  </si>
  <si>
    <t xml:space="preserve">AI Search Site Audit -&gt; Technical Issues -&gt; AI Crawlers -&gt; Page Inclusion in AI Answers</t>
  </si>
  <si>
    <t xml:space="preserve">identifies -&gt; blocks -&gt; affects</t>
  </si>
  <si>
    <t xml:space="preserve">YES — MATCH</t>
  </si>
  <si>
    <t xml:space="preserve">Within GT range. Longest V1 chain agreed by Claude.</t>
  </si>
  <si>
    <t xml:space="preserve">ChatGPT GPT-5.5</t>
  </si>
  <si>
    <t xml:space="preserve">Same chain found. Chain depth same despite 28 vs 10 total relationships.</t>
  </si>
  <si>
    <t xml:space="preserve">Gemini 3.5 Flash</t>
  </si>
  <si>
    <t xml:space="preserve">Technical Issues -&gt; AI Crawlers -&gt; Page Inclusion in AI Answers</t>
  </si>
  <si>
    <t xml:space="preserve">blocks -&gt; affects</t>
  </si>
  <si>
    <t xml:space="preserve">PARTIAL — below GT midpoint</t>
  </si>
  <si>
    <t xml:space="preserve">Missed the first hop (AI Search Site Audit -&gt; Technical Issues). Depth 2 vs GT 2-3.</t>
  </si>
  <si>
    <t xml:space="preserve">V2 WebFX</t>
  </si>
  <si>
    <t xml:space="preserve">SEO -&gt; Organic Traffic -&gt; Leads -&gt; CRM -&gt; Campaign Optimisation -&gt; CPA -&gt; Marketing ROI</t>
  </si>
  <si>
    <t xml:space="preserve">drives -&gt; converts to -&gt; feeds into -&gt; informs -&gt; reduces -&gt; improves</t>
  </si>
  <si>
    <t xml:space="preserve">5-6</t>
  </si>
  <si>
    <t xml:space="preserve">EXCEEDS GT (7 vs 5-6) — F4</t>
  </si>
  <si>
    <t xml:space="preserve">Found the full 7-hop chain. GT estimated 5-6; actual longest path is 7. This is Finding F4's key data point.</t>
  </si>
  <si>
    <t xml:space="preserve">EXCEEDS GT — AGREED</t>
  </si>
  <si>
    <t xml:space="preserve">All 3 models agreed on the 7-hop chain. Finding F4: max depth is the most robust cross-model metric.</t>
  </si>
  <si>
    <t xml:space="preserve">SEO -&gt; Organic Traffic -&gt; Leads -&gt; CRM -&gt; Campaign Optimisation -&gt; Marketing ROI</t>
  </si>
  <si>
    <t xml:space="preserve">drives -&gt; converts to -&gt; feeds into -&gt; informs -&gt; reduces (CPA omitted) -&gt; improves</t>
  </si>
  <si>
    <t xml:space="preserve">Gemini traced 6 hops — merged CPA step into the optimisation-to-ROI relationship. Still within GT range.</t>
  </si>
  <si>
    <t xml:space="preserve">KEY INSIGHT (Finding F4): All 3 models found the same SEO chain as the longest path in V2. Maximum chain depth is the most robust cross-model metric — it does not vary with extraction style (conservative vs inclusive) the way relationship count does.</t>
  </si>
  <si>
    <t xml:space="preserve">Metrics Calculator — All 5 Metrics per Run (source: Relationship Extraction Sheets)</t>
  </si>
  <si>
    <t xml:space="preserve">Relationship counts = COUNTIF(Relationship_Quality, 'REASONING') from extraction sheets. Scores are BLUE hardcoded model Stage 4 outputs. Coverage % derived from entity counts.</t>
  </si>
  <si>
    <t xml:space="preserve">V1 — SEMRUSH KB PAGE</t>
  </si>
  <si>
    <t xml:space="preserve">GT (V1)</t>
  </si>
  <si>
    <t xml:space="preserve">Claude vs GT</t>
  </si>
  <si>
    <t xml:space="preserve">ChatGPT vs GT</t>
  </si>
  <si>
    <t xml:space="preserve">Gemini vs GT</t>
  </si>
  <si>
    <t xml:space="preserve">Relationship count (REASONING only)</t>
  </si>
  <si>
    <t xml:space="preserve">Nearest GT</t>
  </si>
  <si>
    <t xml:space="preserve">INFLATED (28 vs ~7)</t>
  </si>
  <si>
    <t xml:space="preserve">UNDER (2 vs ~7)</t>
  </si>
  <si>
    <t xml:space="preserve">Extraction sheets E column (REASONING label)</t>
  </si>
  <si>
    <t xml:space="preserve">Sec 3.1, Fig 7</t>
  </si>
  <si>
    <t xml:space="preserve">FEATURE_DESC count (excluded from depth)</t>
  </si>
  <si>
    <t xml:space="preserve">0 (GT expects none)</t>
  </si>
  <si>
    <t xml:space="preserve">0 — correct</t>
  </si>
  <si>
    <t xml:space="preserve">11 — boundary crossed</t>
  </si>
  <si>
    <t xml:space="preserve">Extraction sheets E column (FEATURE_DESC label)</t>
  </si>
  <si>
    <t xml:space="preserve">Max chain depth</t>
  </si>
  <si>
    <t xml:space="preserve">MATCH</t>
  </si>
  <si>
    <t xml:space="preserve">PARTIAL — below midpoint</t>
  </si>
  <si>
    <t xml:space="preserve">Sec 3.1, F4</t>
  </si>
  <si>
    <t xml:space="preserve">Connected concepts</t>
  </si>
  <si>
    <t xml:space="preserve">~9-12 est.</t>
  </si>
  <si>
    <t xml:space="preserve">Near GT</t>
  </si>
  <si>
    <t xml:space="preserve">Inflated (27)</t>
  </si>
  <si>
    <t xml:space="preserve">Under (2)</t>
  </si>
  <si>
    <t xml:space="preserve">Extraction sheets — entities in REASONING triples</t>
  </si>
  <si>
    <t xml:space="preserve">Isolated concepts</t>
  </si>
  <si>
    <t xml:space="preserve">High (12)</t>
  </si>
  <si>
    <t xml:space="preserve">Extraction sheets — entities NOT in any REASONING triple</t>
  </si>
  <si>
    <t xml:space="preserve">Multi-Hop Coverage %</t>
  </si>
  <si>
    <t xml:space="preserve">52.0%</t>
  </si>
  <si>
    <t xml:space="preserve">~45-55% est.</t>
  </si>
  <si>
    <t xml:space="preserve">Inflated</t>
  </si>
  <si>
    <t xml:space="preserve">Severely under</t>
  </si>
  <si>
    <t xml:space="preserve">Connected/(Connected+Isolated) per model</t>
  </si>
  <si>
    <t xml:space="preserve">Reasoning Score (Stage 4 — model composite)</t>
  </si>
  <si>
    <t xml:space="preserve">25-40</t>
  </si>
  <si>
    <t xml:space="preserve">Within range</t>
  </si>
  <si>
    <t xml:space="preserve">Above range</t>
  </si>
  <si>
    <t xml:space="preserve">Below range</t>
  </si>
  <si>
    <t xml:space="preserve">Model Stage 4 output — BLUE hardcoded</t>
  </si>
  <si>
    <t xml:space="preserve">V2 — WEBFX HOMEPAGE</t>
  </si>
  <si>
    <t xml:space="preserve">GT (V2)</t>
  </si>
  <si>
    <t xml:space="preserve">Above GT (18)</t>
  </si>
  <si>
    <t xml:space="preserve">Above GT (24)</t>
  </si>
  <si>
    <t xml:space="preserve">Above GT (21)</t>
  </si>
  <si>
    <t xml:space="preserve">Sec 3.2, Fig 7</t>
  </si>
  <si>
    <t xml:space="preserve">FEATURE_DESC count</t>
  </si>
  <si>
    <t xml:space="preserve">0</t>
  </si>
  <si>
    <t xml:space="preserve">Correct</t>
  </si>
  <si>
    <t xml:space="preserve">6 borderlines</t>
  </si>
  <si>
    <t xml:space="preserve">Extraction sheets E column</t>
  </si>
  <si>
    <t xml:space="preserve">EXCEEDS GT — all agreed on SEO chain</t>
  </si>
  <si>
    <t xml:space="preserve">EXCEEDS GT</t>
  </si>
  <si>
    <t xml:space="preserve">MATCH GT</t>
  </si>
  <si>
    <t xml:space="preserve">~14-16 est.</t>
  </si>
  <si>
    <t xml:space="preserve">Above GT</t>
  </si>
  <si>
    <t xml:space="preserve">~4-6 est.</t>
  </si>
  <si>
    <t xml:space="preserve">Extraction sheets</t>
  </si>
  <si>
    <t xml:space="preserve">62.0%</t>
  </si>
  <si>
    <t xml:space="preserve">73.7%</t>
  </si>
  <si>
    <t xml:space="preserve">66.7%</t>
  </si>
  <si>
    <t xml:space="preserve">~65-75% est.</t>
  </si>
  <si>
    <t xml:space="preserve">65-80</t>
  </si>
  <si>
    <t xml:space="preserve">Score Comparison — All Reasoning Scores vs Ground Truth Ranges (Source: Fig 7)</t>
  </si>
  <si>
    <t xml:space="preserve">Page</t>
  </si>
  <si>
    <t xml:space="preserve">Score</t>
  </si>
  <si>
    <t xml:space="preserve">GT Low</t>
  </si>
  <si>
    <t xml:space="preserve">GT High</t>
  </si>
  <si>
    <t xml:space="preserve">Delta from GT Midpoint</t>
  </si>
  <si>
    <t xml:space="preserve">Semrush KB</t>
  </si>
  <si>
    <t xml:space="preserve">V2 Digital Mktg</t>
  </si>
  <si>
    <t xml:space="preserve">WebFX</t>
  </si>
  <si>
    <t xml:space="preserve">Key insight (F1 + Series finding):</t>
  </si>
  <si>
    <t xml:space="preserve">Claude is the only model with BOTH V1 AND V2 scores within GT range (34 within 25-40; 72 within 65-80). This confirms Claude as the recommended default for the seventh consecutive paper.</t>
  </si>
  <si>
    <t xml:space="preserve">Score Discrimination — V2 &gt; V1 per Model (Source: Sec 3.3 / Fig 7 / Finding F1)</t>
  </si>
  <si>
    <t xml:space="preserve">Largest discrimination gap in the seven-paper series. Gemini's 73-point gap is driven by severe V1 under-scoring (15) rather than exceptional V2 scoring (88). Claude's 38-point gap is the most methodologically sound.</t>
  </si>
  <si>
    <t xml:space="preserve">V1 Score (Semrush)</t>
  </si>
  <si>
    <t xml:space="preserve">V2 Score (WebFX)</t>
  </si>
  <si>
    <t xml:space="preserve">Score Gap (V2-V1)</t>
  </si>
  <si>
    <t xml:space="preserve">Gap Positive?</t>
  </si>
  <si>
    <t xml:space="preserve">Gap Assessment</t>
  </si>
  <si>
    <t xml:space="preserve">Most methodologically sound gap — both scores within GT range</t>
  </si>
  <si>
    <t xml:space="preserve">Sec 3.3, F1</t>
  </si>
  <si>
    <t xml:space="preserve">22-pt gap despite inflated V1 score (68 vs GT 25-40). If V1 were correctly scored ~32, gap would be ~58 pts.</t>
  </si>
  <si>
    <t xml:space="preserve">73-pt gap — the largest in the series. Driven by severe V1 under-scoring (15 vs GT 25-40), not exceptional V2 scoring.</t>
  </si>
  <si>
    <t xml:space="preserve">All 3 confirmed:</t>
  </si>
  <si>
    <t xml:space="preserve">Relationship Boundary Review — Reasoning Relationship vs Feature Description Decision Log</t>
  </si>
  <si>
    <t xml:space="preserve">WP007's equivalent of WP006 Boundary_Cases. The Fact/Relationship boundary is why ChatGPT found 28 relationships (GT: ~7) from the same Semrush page Claude scored at 10.</t>
  </si>
  <si>
    <t xml:space="preserve">Every cross-model divergence in WP007 traces to one question: is this statement a REASONING RELATIONSHIP (a mechanism connecting two concepts causally) or a FEATURE DESCRIPTION (what a tool does, without explaining what it causes)?</t>
  </si>
  <si>
    <t xml:space="preserve">A reasoning relationship must have a mechanism: the source entity must CAUSE, DRIVE, ENABLE, IMPROVE, LEAD TO, or DETERMINE an outcome in the target entity. Feature descriptions use verbs like MEASURES, MONITORS, SHOWS, IDENTIFIES, TRACKS — these name outputs but do not explain mechanisms.</t>
  </si>
  <si>
    <t xml:space="preserve">ChatGPT crossed this boundary on 11 V1 triples. Gemini applied the boundary too strictly and found only 2 relationships. Claude found 10 — the closest to GT ~7.</t>
  </si>
  <si>
    <t xml:space="preserve">This sheet documents the 23 highest-stakes boundary decisions: why each statement was or was not a reasoning relationship, which models agreed, and what the ruling principle was.</t>
  </si>
  <si>
    <t xml:space="preserve">THE TWO DEFINITIONS (from Prompt_Template v1.0)</t>
  </si>
  <si>
    <t xml:space="preserve">REASONING RELATIONSHIP</t>
  </si>
  <si>
    <t xml:space="preserve">Verbs: causes, drives, enables, improves, leads to, determines, converts to, feeds into, reduces, increases. The source entity must produce or cause a change in the target entity. Test: if you remove the source entity, does the target entity fail to achieve its described state?</t>
  </si>
  <si>
    <t xml:space="preserve">FEATURE DESCRIPTION (not a reasoning relationship)</t>
  </si>
  <si>
    <t xml:space="preserve">Verbs: measures, monitors, shows, identifies, tracks, displays, generates, benchmarks (when used as measurement, not as mechanism). These describe what a feature does, not what it causes. A tool that 'measures Share of Voice' creates a data output — it does not cause Share of Voice to change.</t>
  </si>
  <si>
    <t xml:space="preserve">BOUNDARY DECISION LOG — 23 CASES | Orange = wrong model label | Amber highlight = contested case</t>
  </si>
  <si>
    <t xml:space="preserve">Statement (from page text)</t>
  </si>
  <si>
    <t xml:space="preserve">GT Label</t>
  </si>
  <si>
    <t xml:space="preserve">Ruling Principle</t>
  </si>
  <si>
    <t xml:space="preserve">Technical Issues blocks AI Crawlers from accessing pages</t>
  </si>
  <si>
    <t xml:space="preserve">UNAMBIGUOUS REASONING. Explicit causal verb 'blocks'. The source entity (Technical Issues) directly prevents the target entity (AI Crawlers) from performing its function. All 3 models agreed.</t>
  </si>
  <si>
    <t xml:space="preserve">AI Crawlers affects Page Inclusion in AI Answers</t>
  </si>
  <si>
    <t xml:space="preserve">UNAMBIGUOUS REASONING. 'Affects' is a mechanism verb — crawler access determines page inclusion. The causal direction is explicit: blocked crawlers -&gt; less inclusion. All 3 agreed.</t>
  </si>
  <si>
    <t xml:space="preserve">SEO drives Organic Traffic</t>
  </si>
  <si>
    <t xml:space="preserve">UNAMBIGUOUS REASONING. 'Drives' is a mechanism verb explicitly stated. SEO activity causes organic traffic. Chain node 1 of the 7-hop SEO chain. All 3 models agreed.</t>
  </si>
  <si>
    <t xml:space="preserve">Organic Traffic converts to Leads</t>
  </si>
  <si>
    <t xml:space="preserve">UNAMBIGUOUS REASONING. 'Converts to' is a transformation mechanism — traffic becomes leads. Explicit in page copy. Chain node 2. All 3 agreed.</t>
  </si>
  <si>
    <t xml:space="preserve">CRM informs Campaign Optimisation</t>
  </si>
  <si>
    <t xml:space="preserve">UNAMBIGUOUS REASONING. 'Informs' here means data-driven causation — CRM data causes specific optimisation decisions. Explicit mechanism. Chain node 4. All 3 agreed.</t>
  </si>
  <si>
    <t xml:space="preserve">Campaign Optimisation reduces CPA</t>
  </si>
  <si>
    <t xml:space="preserve">UNAMBIGUOUS REASONING. 'Reduces' is an explicit causal mechanism — optimisation activity causes a measurable cost reduction. Chain node 5. All 3 agreed.</t>
  </si>
  <si>
    <t xml:space="preserve">RevenueCloudFX enables Revenue Attribution</t>
  </si>
  <si>
    <t xml:space="preserve">UNAMBIGUOUS REASONING. 'Enables' is a mechanism verb — the platform makes attribution possible. Explicit in page copy. Parallel chain node 1. All 3 agreed.</t>
  </si>
  <si>
    <t xml:space="preserve">Semrush Toolkit enables benchmark brand AI visibility</t>
  </si>
  <si>
    <t xml:space="preserve">CONTESTED — CHATGPT INFLATED. 'Enables benchmarking' describes what the tool does, not what benchmarking causes. A reasoning version would say: 'benchmarking reveals competitive gaps, which enables targeted content strategy.' The page does not say this. ChatGPT treated tool capability as a causal mechanism — the core F2 inflation.</t>
  </si>
  <si>
    <t xml:space="preserve">Semrush Toolkit enables Competitive Gap Identification</t>
  </si>
  <si>
    <t xml:space="preserve">CONTESTED — CHATGPT INFLATED. 'Identifies competitive gaps' is a feature output, not a mechanism. The page never explains what happens after a gap is identified — there is no downstream causal node. ChatGPT treated the feature output as a relationship target, but there is no source mechanism.</t>
  </si>
  <si>
    <t xml:space="preserve">AI Visibility Score enables Performance Tracking</t>
  </si>
  <si>
    <t xml:space="preserve">CONTESTED — CHATGPT INFLATED. Tracking is the feature's function, not its mechanism. 'AI Visibility Score tracks performance' means the score IS the performance tracker — it is a tautological self-reference, not a causal chain. ChatGPT treated this as a reasoning relationship.</t>
  </si>
  <si>
    <t xml:space="preserve">Semrush Toolkit enables Discoverability Improvement</t>
  </si>
  <si>
    <t xml:space="preserve">CONTESTED — CHATGPT INFLATED. 'Improve brand discoverability' is a stated goal of the page, not a mechanism. The page never explains HOW the toolkit improves discoverability — no intermediate steps are stated. ChatGPT inferred the causal chain from domain knowledge despite the 'do not infer' constraint.</t>
  </si>
  <si>
    <t xml:space="preserve">Technical Issues fix improves AI Visibility</t>
  </si>
  <si>
    <t xml:space="preserve">CONTESTED — CHATGPT DOMAIN INFERENCE. The page says 'identifies technical issues blocking AI bots' — it does NOT say 'fixing those issues improves AI visibility.' ChatGPT completed the logical chain from domain knowledge. This is the most significant 'do not infer' constraint violation in V1.</t>
  </si>
  <si>
    <t xml:space="preserve">Share of Voice drives Brand Discoverability</t>
  </si>
  <si>
    <t xml:space="preserve">CONTESTED — CHATGPT DOMAIN INFERENCE. Common marketing knowledge: higher SoV -&gt; more brand exposure -&gt; more discoverability. But the Semrush page never states this chain. The page measures SoV — it never says higher SoV improves discoverability. ChatGPT added the chain from domain knowledge.</t>
  </si>
  <si>
    <t xml:space="preserve">AI Search Site Audit identifies Technical Issues</t>
  </si>
  <si>
    <t xml:space="preserve">CONTESTED — GEMINI UNDER-EXTRACTED. 'Identifies' here is a mechanism — the audit produces a specific named output (technical issues). Gemini classified this as a feature description, missing the first hop of the only explicit causal chain in V1. This is why Gemini's V1 max depth is 2 instead of 3.</t>
  </si>
  <si>
    <t xml:space="preserve">Brand Performance measures Share of Voice</t>
  </si>
  <si>
    <t xml:space="preserve">CONTESTED — GEMINI UNDER-EXTRACTED. 'Measures' creates a data relationship — the feature (Brand Performance) produces a named metric (Share of Voice). Gemini required a causal verb and rejected 'measures' despite the explicit named output. Claude and ChatGPT both included this.</t>
  </si>
  <si>
    <t xml:space="preserve">Prompt Research measures Prompt Volume/Difficulty/Intent</t>
  </si>
  <si>
    <t xml:space="preserve">CONTESTED — GEMINI UNDER-EXTRACTED. Same issue — 'measures' with three named outputs (volume, difficulty, intent) creates a multi-output relationship. Gemini rejected it; Claude and ChatGPT accepted it. Gemini's 2-relationship total stems directly from this over-strict interpretation.</t>
  </si>
  <si>
    <t xml:space="preserve">Semrush Toolkit monitors AI Mention Volume</t>
  </si>
  <si>
    <t xml:space="preserve">BORDERLINE — RULED REASONING by Claude and ChatGPT. 'Monitors' creates a data output relationship. The monitoring produces actionable volume data — this justifies inclusion as a reasoning node even though 'monitors' is listed as a feature description verb. Gemini correctly flagged it as borderline.</t>
  </si>
  <si>
    <t xml:space="preserve">Market Explorer shows Category-Level AI Share Data</t>
  </si>
  <si>
    <t xml:space="preserve">BORDERLINE — RULED REASONING by Claude and ChatGPT. 'Shows' normally = feature description. But the output is named and specific (category-level AI share data), creating a data production relationship. Gemini correctly excluded it; Claude included it as borderline.</t>
  </si>
  <si>
    <t xml:space="preserve">AI Visibility Score benchmarks Competitor AI Visibility</t>
  </si>
  <si>
    <t xml:space="preserve">BORDERLINE — RULED REASONING by Claude and ChatGPT. 'Benchmarks' is ambiguous: as a measurement verb it is a feature description; as a comparison mechanism it creates a relationship. Claude included it as a borderline relationship. This is why Claude's count is 10 vs GT ~7.</t>
  </si>
  <si>
    <t xml:space="preserve">Net Friends case study demonstrates Organic Traffic improvement</t>
  </si>
  <si>
    <t xml:space="preserve">CLEAR REASONING. A case study with named client and named outcome creates an evidence relationship — the case study entity supports (demonstrates) the outcome claim. All 3 models agreed this is a reasoning relationship connecting real-world evidence to chain claims.</t>
  </si>
  <si>
    <t xml:space="preserve">500+ Experts deliver Client Revenue ($10B+)</t>
  </si>
  <si>
    <t xml:space="preserve">CLEAR REASONING. 'Deliver' is a mechanism verb — the experts (resource) produce the revenue outcome. Explicit in page copy. All 3 models agreed.</t>
  </si>
  <si>
    <t xml:space="preserve">28 years experience improves Client Outcomes</t>
  </si>
  <si>
    <t xml:space="preserve">BORDERLINE — CHATGPT INFLATED. Experience as a causal factor for outcomes is common marketing logic but not a stated mechanism in the WebFX copy. The page states '28 years of experience' as a credential, not as a mechanism producing better outcomes. Claude and Gemini correctly excluded it; ChatGPT included it as a borderline reasoning chain.</t>
  </si>
  <si>
    <t xml:space="preserve">MarketingCloudFX enables Real-time Reporting</t>
  </si>
  <si>
    <t xml:space="preserve">BORDERLINE — CONTESTED. Real-time reporting is a platform output (feature description) or an enabling mechanism depending on context. Claude classified it as a feature description; ChatGPT and Gemini included it as a reasoning relationship. Borderline inclusion does not materially affect chain depth in V2.</t>
  </si>
  <si>
    <t xml:space="preserve">BOUNDARY SUMMARY</t>
  </si>
  <si>
    <t xml:space="preserve">Total cases</t>
  </si>
  <si>
    <t xml:space="preserve">Covers all 3 categories: unambiguous reasoning, unambiguous feature descriptions, and contested borderlines</t>
  </si>
  <si>
    <t xml:space="preserve">Claude matched GT</t>
  </si>
  <si>
    <t xml:space="preserve">18/23 — most calibrated extraction style</t>
  </si>
  <si>
    <t xml:space="preserve">ChatGPT diverged</t>
  </si>
  <si>
    <t xml:space="preserve">All divergences = feature descriptions classified as reasoning relationships (F2 inflation pattern)</t>
  </si>
  <si>
    <t xml:space="preserve">Gemini diverged</t>
  </si>
  <si>
    <t xml:space="preserve">All divergences = reasoning relationships classified as feature descriptions (F3 under-extraction)</t>
  </si>
  <si>
    <t xml:space="preserve">THE KEY RULE: A reasoning relationship must express a MECHANISM. The source entity must CAUSE, DRIVE, ENABLE, or DETERMINE a change in the target entity. Feature outputs (measures Share of Voice, monitors AI mentions, shows competitor data) are single nodes, not relationships. ChatGPT treated 11 of these as reasoning relationships in V1, producing 28 triples vs GT ~7. Gemini applied the rule too strictly, rejecting 'measures' and 'identifies' even with named specific outputs, producing 2 triples vs GT ~7. Claude's 10 triples represent the best calibration — slightly above GT ~7 but within a defensible interpretation of borderline cases.</t>
  </si>
  <si>
    <t xml:space="preserve">Competitor Multi-Hop Reasoning Score Estimates — Stage 5 Output (Source: Fig 7 / Sec 3.3)</t>
  </si>
  <si>
    <t xml:space="preserve">Claude Score</t>
  </si>
  <si>
    <t xml:space="preserve">Claude Depth</t>
  </si>
  <si>
    <t xml:space="preserve">ChatGPT Score</t>
  </si>
  <si>
    <t xml:space="preserve">ChatGPT Depth</t>
  </si>
  <si>
    <t xml:space="preserve">Gemini Score</t>
  </si>
  <si>
    <t xml:space="preserve">Gemini Depth</t>
  </si>
  <si>
    <t xml:space="preserve">V1 AI/GEO Tools (Target: Semrush 34/68/15)</t>
  </si>
  <si>
    <t xml:space="preserve">Semrush (Target)</t>
  </si>
  <si>
    <t xml:space="preserve">V2 Digital Mktg (Target: WebFX 72/90/88)</t>
  </si>
  <si>
    <t xml:space="preserve">WebFX (Target)</t>
  </si>
  <si>
    <t xml:space="preserve">V1 key divergence: OtterlyAI and Rankshift scored HIGHER than Semrush on Claude's estimates because they explicitly state the chain 'technical issue identification -&gt; fix -&gt; improved AI crawler access -&gt; higher page inclusion.' Semrush stops at 'identifies issues' — the page never states that fixing them improves AI visibility.</t>
  </si>
  <si>
    <t xml:space="preserve">Relationship Gaps — Missing Chains per Page (Source: Finding F5, Stage 5 Output)</t>
  </si>
  <si>
    <t xml:space="preserve">Finding F5: Relationship gaps are the most actionable output in WP007. Each gap is a specific chain to ADD — not a topic to cover. Agreed across all 3 models for V1 Semrush.</t>
  </si>
  <si>
    <t xml:space="preserve">Gap ID</t>
  </si>
  <si>
    <t xml:space="preserve">Missing Chain (explicit format)</t>
  </si>
  <si>
    <t xml:space="preserve">Depth Added</t>
  </si>
  <si>
    <t xml:space="preserve">Competitor That Has It</t>
  </si>
  <si>
    <t xml:space="preserve">Claude Flagged?</t>
  </si>
  <si>
    <t xml:space="preserve">ChatGPT Flagged?</t>
  </si>
  <si>
    <t xml:space="preserve">Gemini Flagged?</t>
  </si>
  <si>
    <t xml:space="preserve">Priority</t>
  </si>
  <si>
    <t xml:space="preserve">GAP-V1-01</t>
  </si>
  <si>
    <t xml:space="preserve">Technical Issues fix -&gt; improves -&gt; AI Crawler Access -&gt; increases -&gt; Page Inclusion in AI Answers</t>
  </si>
  <si>
    <t xml:space="preserve">OtterlyAI (has the fix -&gt; outcome chain)</t>
  </si>
  <si>
    <t xml:space="preserve">CRITICAL — completes the only existing V1 chain</t>
  </si>
  <si>
    <t xml:space="preserve">GAP-V1-02</t>
  </si>
  <si>
    <t xml:space="preserve">Share of Voice increase -&gt; leads to -&gt; Brand Mention Frequency in AI answers -&gt; improves -&gt; Brand Discoverability</t>
  </si>
  <si>
    <t xml:space="preserve">Rankshift (has SoV -&gt; discoverability chain)</t>
  </si>
  <si>
    <t xml:space="preserve">HIGH — the SoV metric is measured but never explained downstream</t>
  </si>
  <si>
    <t xml:space="preserve">GAP-V1-03</t>
  </si>
  <si>
    <t xml:space="preserve">AI Visibility Score improvement -&gt; reduces -&gt; Competitive Gap -&gt; increases -&gt; Market Share in AI</t>
  </si>
  <si>
    <t xml:space="preserve">HIGH — Claude and ChatGPT flagged; Gemini only found 2 relationships, missed this gap</t>
  </si>
  <si>
    <t xml:space="preserve">GAP-V1-04</t>
  </si>
  <si>
    <t xml:space="preserve">Prompt optimisation -&gt; increases -&gt; Prompt Trigger Rate -&gt; improves -&gt; Brand Mention Volume</t>
  </si>
  <si>
    <t xml:space="preserve">MEDIUM — Prompt Research measures intent but never states optimising for intent improves outcomes</t>
  </si>
  <si>
    <t xml:space="preserve">GAP-V1-05</t>
  </si>
  <si>
    <t xml:space="preserve">Technical Audit finding -&gt; generates -&gt; Fix Prioritisation -&gt; enables -&gt; Implementation -&gt; improves -&gt; Crawl Coverage</t>
  </si>
  <si>
    <t xml:space="preserve">Not present in any competitor — new gap</t>
  </si>
  <si>
    <t xml:space="preserve">MEDIUM — Claude-only gap; the most specific editorial recommendation</t>
  </si>
  <si>
    <t xml:space="preserve">GAP-V1-06</t>
  </si>
  <si>
    <t xml:space="preserve">AI Mention Volume data -&gt; informs -&gt; Content Strategy -&gt; improves -&gt; AI Retrieval Rate</t>
  </si>
  <si>
    <t xml:space="preserve">MEDIUM — data-to-strategy chain missing from Semrush page</t>
  </si>
  <si>
    <t xml:space="preserve">GAP-V2-01</t>
  </si>
  <si>
    <t xml:space="preserve">MarketingCloudFX data -&gt; enables -&gt; Predictive Budget Allocation -&gt; reduces -&gt; Wasted Ad Spend</t>
  </si>
  <si>
    <t xml:space="preserve">NP Digital (partial chain)</t>
  </si>
  <si>
    <t xml:space="preserve">LOW — V2 scores HIGH; this would deepen an already-strong page</t>
  </si>
  <si>
    <t xml:space="preserve">Chain-Level Recommendations — Stage 5 Output per Model per Page (Finding F5)</t>
  </si>
  <si>
    <t xml:space="preserve">Each recommendation is a specific chain to add — not a topic suggestion. This is what distinguishes WP007 recommendations from WP002-006 topic/fact recommendations.</t>
  </si>
  <si>
    <t xml:space="preserve">Chain to Add (explicit)</t>
  </si>
  <si>
    <t xml:space="preserve">Paragraph Template</t>
  </si>
  <si>
    <t xml:space="preserve">CRITICAL</t>
  </si>
  <si>
    <t xml:space="preserve">When technical issues blocking AI bots are resolved, AI crawlers can access and index your pages, directly increasing the likelihood of your content appearing in AI-generated answers.</t>
  </si>
  <si>
    <t xml:space="preserve">Sec 4 F5, GAP-V1-01</t>
  </si>
  <si>
    <t xml:space="preserve">HIGH</t>
  </si>
  <si>
    <t xml:space="preserve">Share of Voice increase -&gt; leads to -&gt; Brand Mention Frequency -&gt; improves -&gt; Brand Discoverability in AI</t>
  </si>
  <si>
    <t xml:space="preserve">A higher Share of Voice means your brand appears in more AI-monitored prompts, which increases the frequency of brand mentions in AI responses, and frequent mentions improve AI discoverability over time.</t>
  </si>
  <si>
    <t xml:space="preserve">Sec 4 F5, GAP-V1-02</t>
  </si>
  <si>
    <t xml:space="preserve">AI Visibility Score improvement -&gt; reduces -&gt; Competitive Gap -&gt; increases -&gt; Market Share in AI answers</t>
  </si>
  <si>
    <t xml:space="preserve">Improving your AI Visibility Score narrows the competitive gap between your brand and category leaders, which translates directly to a larger share of brand mentions in AI-generated answers for your target prompts.</t>
  </si>
  <si>
    <t xml:space="preserve">Sec 4 F5, GAP-V1-03</t>
  </si>
  <si>
    <t xml:space="preserve">MEDIUM</t>
  </si>
  <si>
    <t xml:space="preserve">Prompt Research findings -&gt; inform -&gt; Content Optimisation -&gt; improves -&gt; Prompt Trigger Rate</t>
  </si>
  <si>
    <t xml:space="preserve">Use Prompt Research intent data to identify which content gaps prevent your brand from triggering in high-volume prompts. Closing these gaps — through content updates aligned to trigger intent — increases the rate at which your brand appears in AI answers.</t>
  </si>
  <si>
    <t xml:space="preserve">Sec 4 F5, GAP-V1-04</t>
  </si>
  <si>
    <t xml:space="preserve">AI Search Site Audit -&gt; fixes -&gt; Technical Crawl Barriers -&gt; enables -&gt; Complete AI Indexation -&gt; improves -&gt; Comprehensive AI Coverage</t>
  </si>
  <si>
    <t xml:space="preserve">Resolving the technical issues identified by AI Search Site Audit removes barriers that prevent AI crawlers from indexing your full content estate, enabling comprehensive AI coverage and reducing the risk of content being excluded from AI-generated answers.</t>
  </si>
  <si>
    <t xml:space="preserve">Sec 4 F5, GAP-V1-05</t>
  </si>
  <si>
    <t xml:space="preserve">Technical Issues fix -&gt; improves -&gt; AI Crawler Access -&gt; increases -&gt; AI Answer Inclusion</t>
  </si>
  <si>
    <t xml:space="preserve">When the technical barriers identified by the AI Search Site Audit are resolved, AI bots can successfully crawl and index your pages, increasing your brand's inclusion rate in AI-generated answers across monitored platforms.</t>
  </si>
  <si>
    <t xml:space="preserve">Sec 4 F5</t>
  </si>
  <si>
    <t xml:space="preserve">Share of Voice increase -&gt; correlates with -&gt; AI Brand Mention Rate -&gt; improves -&gt; AI Visibility Score</t>
  </si>
  <si>
    <t xml:space="preserve">A higher Share of Voice across AI platforms correlates with an increased rate of brand mentions in AI responses, which feeds directly into your AI Visibility Score improvement over time.</t>
  </si>
  <si>
    <t xml:space="preserve">Prompt Research data -&gt; reveals -&gt; High-intent Prompt Gaps -&gt; guides -&gt; Content Creation -&gt; increases -&gt; Brand Trigger Rate</t>
  </si>
  <si>
    <t xml:space="preserve">Prompt Research data reveals which high-volume, high-intent prompts your brand is absent from. Creating content that targets these gaps directly increases the rate at which your brand is triggered in AI responses for those prompts.</t>
  </si>
  <si>
    <t xml:space="preserve">Competitive Benchmarking -&gt; identifies -&gt; Performance Gap -&gt; motivates -&gt; Optimisation Actions -&gt; closes -&gt; Gap</t>
  </si>
  <si>
    <t xml:space="preserve">The competitive benchmarking output identifies specific performance gaps between your brand and top-ranking competitors in AI visibility, creating a prioritised list of optimisation actions that can systematically close those gaps.</t>
  </si>
  <si>
    <t xml:space="preserve">Technical Issues fix -&gt; allows -&gt; AI Crawlers -&gt; increases -&gt; Page Inclusion</t>
  </si>
  <si>
    <t xml:space="preserve">Resolving the technical issues identified by the audit allows AI crawlers to access previously blocked pages, directly increasing your content's inclusion in AI answers.</t>
  </si>
  <si>
    <t xml:space="preserve">Share of Voice monitoring -&gt; reveals -&gt; Visibility Gaps -&gt; enables -&gt; Targeted Optimisation</t>
  </si>
  <si>
    <t xml:space="preserve">Monitoring Share of Voice reveals where your brand's AI visibility falls short relative to competitors, enabling targeted optimisation of the specific content areas where visibility is lowest.</t>
  </si>
  <si>
    <t xml:space="preserve">Ground Truth Accuracy — Delta Between Model Output and GT per Metric</t>
  </si>
  <si>
    <t xml:space="preserve">Quantifies calibration. Negative = under-count/score. Positive = over-count/score. Source for Finding F4 (chain depth most robust) and series finding (Claude most calibrated).</t>
  </si>
  <si>
    <t xml:space="preserve">GT Value</t>
  </si>
  <si>
    <t xml:space="preserve">Claude Output</t>
  </si>
  <si>
    <t xml:space="preserve">Claude Delta</t>
  </si>
  <si>
    <t xml:space="preserve">ChatGPT Output</t>
  </si>
  <si>
    <t xml:space="preserve">ChatGPT Delta</t>
  </si>
  <si>
    <t xml:space="preserve">Gemini Output</t>
  </si>
  <si>
    <t xml:space="preserve">Gemini Delta</t>
  </si>
  <si>
    <t xml:space="preserve">V1 Relationship count (GT midpoint ~7)</t>
  </si>
  <si>
    <t xml:space="preserve">V1 Max chain depth (GT midpoint 2.5)</t>
  </si>
  <si>
    <t xml:space="preserve">V1 Multi-Hop Coverage (GT est 50%)</t>
  </si>
  <si>
    <t xml:space="preserve">V1 Reasoning Score (GT midpoint 32.5)</t>
  </si>
  <si>
    <t xml:space="preserve">V2 Relationship count (GT midpoint 13.5)</t>
  </si>
  <si>
    <t xml:space="preserve">V2 Max chain depth (GT midpoint 5.5)</t>
  </si>
  <si>
    <t xml:space="preserve">V2 Multi-Hop Coverage (GT est 70%)</t>
  </si>
  <si>
    <t xml:space="preserve">V2 Reasoning Score (GT midpoint 72.5)</t>
  </si>
  <si>
    <t xml:space="preserve">Claude total absolute delta</t>
  </si>
  <si>
    <t xml:space="preserve">ChatGPT total absolute delta</t>
  </si>
  <si>
    <t xml:space="preserve">Gemini total absolute delta</t>
  </si>
  <si>
    <t xml:space="preserve">Most accurate model:</t>
  </si>
  <si>
    <t xml:space="preserve">Findings Traceability — F1-F6 and Series Finding Mapped to Supporting Sheets</t>
  </si>
  <si>
    <t xml:space="preserve">Statement</t>
  </si>
  <si>
    <t xml:space="preserve">Supporting Sheets</t>
  </si>
  <si>
    <t xml:space="preserve">Key Evidence</t>
  </si>
  <si>
    <t xml:space="preserve">Verified?</t>
  </si>
  <si>
    <t xml:space="preserve">F1</t>
  </si>
  <si>
    <t xml:space="preserve">Score gap between Semrush (feature list, depth 2-3) and WebFX (reasoning-rich, depth 7) ranged 22-73 pts. Strongest discriminator in the 7-paper series.</t>
  </si>
  <si>
    <t xml:space="preserve">Sec 4, F1</t>
  </si>
  <si>
    <t xml:space="preserve">Score_Discrimination!D5:D7 (all positive) + E5:E7 (all YES)</t>
  </si>
  <si>
    <t xml:space="preserve">CONFIRMED</t>
  </si>
  <si>
    <t xml:space="preserve">F2</t>
  </si>
  <si>
    <t xml:space="preserve">ChatGPT generated 28 V1 relationships (GT: ~7) by treating 'tool enables feature' descriptions as reasoning relationships. Same over-inclusion pattern as WP002-006.</t>
  </si>
  <si>
    <t xml:space="preserve">Sec 4, F2</t>
  </si>
  <si>
    <t xml:space="preserve">ChatGPT_V1_Relationships E column: 11 FEATURE_DESC rows with INFLATED flag. Relationship_Boundary contested rows (orange ChatGPT labels).</t>
  </si>
  <si>
    <t xml:space="preserve">F3</t>
  </si>
  <si>
    <t xml:space="preserve">Gemini extracted only 2 V1 relationships by accepting only literal explicit causal statements. Most conservative extraction style across the series.</t>
  </si>
  <si>
    <t xml:space="preserve">Sec 4, F3</t>
  </si>
  <si>
    <t xml:space="preserve">Gemini_V1_Relationships, Relationship_Boundary</t>
  </si>
  <si>
    <t xml:space="preserve">Gemini_V1_Relationships: 2 REASONING triples + 3 MISSED rows. Relationship_Boundary: Gemini orange labels on 3 cases.</t>
  </si>
  <si>
    <t xml:space="preserve">F4</t>
  </si>
  <si>
    <t xml:space="preserve">All 3 models found max chain depth 6-7 for V2 WebFX and identified the same SEO chain as the longest path. Max depth is the most robust cross-model metric.</t>
  </si>
  <si>
    <t xml:space="preserve">Sec 4, F4</t>
  </si>
  <si>
    <t xml:space="preserve">Chain_Depth_Analysis rows 5-10: all 3 models, same 7-hop chain listed, depth 6-7.</t>
  </si>
  <si>
    <t xml:space="preserve">F5</t>
  </si>
  <si>
    <t xml:space="preserve">Relationship gap identification is the most actionable output. All 3 models identified the same 2 core V1 gaps: the fix-&gt;AI-visibility chain and the SoV-&gt;discoverability chain.</t>
  </si>
  <si>
    <t xml:space="preserve">Relationship_Gaps, Recommendations_Log</t>
  </si>
  <si>
    <t xml:space="preserve">Relationship_Gaps!F5:H5 (all YES for GAP-V1-01 and GAP-V1-02). Recommendations_Log: all 3 models have entries for these chains.</t>
  </si>
  <si>
    <t xml:space="preserve">F6</t>
  </si>
  <si>
    <t xml:space="preserve">Semrush scored MEDIUM on WP002-006 but LOW on WP007 — a content architecture problem no prior module could detect: entities listed but mechanisms unexplained.</t>
  </si>
  <si>
    <t xml:space="preserve">Sec 4, F6</t>
  </si>
  <si>
    <t xml:space="preserve">Score_Comparison, Metrics_Calculator</t>
  </si>
  <si>
    <t xml:space="preserve">Score_Comparison: V1 Semrush scores 15-68 (all below 70). Metrics_Calculator V1: max depth 2-3, coverage 14-52%.</t>
  </si>
  <si>
    <t xml:space="preserve">Claude most calibrated across all 7 papers. Both V1 (34) and V2 (72) within GT range. ChatGPT systematic over-inclusion (6th consecutive). Gemini task-specific failure (7th consecutive).</t>
  </si>
  <si>
    <t xml:space="preserve">GT_Accuracy, Cross_Paper_Comparison</t>
  </si>
  <si>
    <t xml:space="preserve">GT_Accuracy: Claude lowest total absolute delta. Cross_Paper_Comparison: consistent verdict across all 7 papers.</t>
  </si>
  <si>
    <t xml:space="preserve">Cross-Paper Model Verdict Pattern — WP001 through WP007</t>
  </si>
  <si>
    <t xml:space="preserve">Paper</t>
  </si>
  <si>
    <t xml:space="preserve">Task</t>
  </si>
  <si>
    <t xml:space="preserve">Claude Verdict</t>
  </si>
  <si>
    <t xml:space="preserve">ChatGPT Verdict</t>
  </si>
  <si>
    <t xml:space="preserve">Gemini Failure Pattern</t>
  </si>
  <si>
    <t xml:space="preserve">Discriminating Metric</t>
  </si>
  <si>
    <t xml:space="preserve">WP001</t>
  </si>
  <si>
    <t xml:space="preserve">Entity universe completeness</t>
  </si>
  <si>
    <t xml:space="preserve">Best overall</t>
  </si>
  <si>
    <t xml:space="preserve">Production-ready</t>
  </si>
  <si>
    <t xml:space="preserve">Quantitative inflation</t>
  </si>
  <si>
    <t xml:space="preserve">Entity count accuracy</t>
  </si>
  <si>
    <t xml:space="preserve">WP002</t>
  </si>
  <si>
    <t xml:space="preserve">Topic coverage benchmark</t>
  </si>
  <si>
    <t xml:space="preserve">Production-ready, over-counted topics</t>
  </si>
  <si>
    <t xml:space="preserve">Under-generated topics</t>
  </si>
  <si>
    <t xml:space="preserve">Topic recall rate</t>
  </si>
  <si>
    <t xml:space="preserve">WP003</t>
  </si>
  <si>
    <t xml:space="preserve">Semantic drift analysis</t>
  </si>
  <si>
    <t xml:space="preserve">Over-classified drift</t>
  </si>
  <si>
    <t xml:space="preserve">Drift score calibration</t>
  </si>
  <si>
    <t xml:space="preserve">WP004</t>
  </si>
  <si>
    <t xml:space="preserve">Coverage vs Confidence</t>
  </si>
  <si>
    <t xml:space="preserve">Production-ready, over-estimated confidence</t>
  </si>
  <si>
    <t xml:space="preserve">Over-estimated confidence</t>
  </si>
  <si>
    <t xml:space="preserve">Confidence quadrant placement</t>
  </si>
  <si>
    <t xml:space="preserve">WP005</t>
  </si>
  <si>
    <t xml:space="preserve">Production-ready, over-generated entities</t>
  </si>
  <si>
    <t xml:space="preserve">Hallucinated entities</t>
  </si>
  <si>
    <t xml:space="preserve">Entity precision</t>
  </si>
  <si>
    <t xml:space="preserve">WP006</t>
  </si>
  <si>
    <t xml:space="preserve">Retrieval Compression</t>
  </si>
  <si>
    <t xml:space="preserve">Best overall — only score within GT range</t>
  </si>
  <si>
    <t xml:space="preserve">Viable — Fact inflation (30 vs GT ~11)</t>
  </si>
  <si>
    <t xml:space="preserve">Under-detected Evidence (2 vs GT ~5-6)</t>
  </si>
  <si>
    <t xml:space="preserve">Compression Score calibration</t>
  </si>
  <si>
    <t xml:space="preserve">WP007</t>
  </si>
  <si>
    <t xml:space="preserve">Multi-Hop Reasoning (this paper)</t>
  </si>
  <si>
    <t xml:space="preserve">Best overall — both scores within GT range</t>
  </si>
  <si>
    <t xml:space="preserve">Viable — Relationship inflation (28 vs GT ~7). 6th consecutive over-inclusion.</t>
  </si>
  <si>
    <t xml:space="preserve">Under-extracted V1 relationships (2 vs GT ~7). 7th consecutive task-specific failure.</t>
  </si>
  <si>
    <t xml:space="preserve">Max chain depth (most robust metric)</t>
  </si>
  <si>
    <t xml:space="preserve">Limitations — Known Constraints on WP007 Results</t>
  </si>
  <si>
    <t xml:space="preserve">Limitation</t>
  </si>
  <si>
    <t xml:space="preserve">Affected Metrics</t>
  </si>
  <si>
    <t xml:space="preserve">Estimated Impact</t>
  </si>
  <si>
    <t xml:space="preserve">Mitigation</t>
  </si>
  <si>
    <t xml:space="preserve">Manual GT established by single researcher — the Fact/Relationship boundary requires judgement, particularly for 'measures' and 'identifies' verbs</t>
  </si>
  <si>
    <t xml:space="preserve">Relationship count, GT_Accuracy comparisons</t>
  </si>
  <si>
    <t xml:space="preserve">Moderate — the GT range (~7 relationships) is deliberately wide to accommodate reasonable boundary interpretations. Borderline cases documented in Relationship_Boundary sheet.</t>
  </si>
  <si>
    <t xml:space="preserve">All borderline GT decisions flagged explicitly. GT published as range (not single value) to accommodate different defensible interpretations.</t>
  </si>
  <si>
    <t xml:space="preserve">Sec 2.3, GT_V1_Semrush Section B</t>
  </si>
  <si>
    <t xml:space="preserve">Only 2 pages tested. Maximum chain depth not validated against a TRUE SHALLOW page (depth 1 only) or a TRUE DEEP page (depth 10+).</t>
  </si>
  <si>
    <t xml:space="preserve">Score_Discrimination, Chain_Depth_Analysis</t>
  </si>
  <si>
    <t xml:space="preserve">Low-moderate — the two-page design maximises discrimination. V1 Semrush is sufficiently low-depth to test the module; V2 WebFX is the deepest homepage in the dataset. But a depth-1 page and a depth-10 page would further validate the scale.</t>
  </si>
  <si>
    <t xml:space="preserve">Next Steps 6.1: WP008 longitudinal study will include pages across the full depth range.</t>
  </si>
  <si>
    <t xml:space="preserve">Sec 2.3, Sec 6</t>
  </si>
  <si>
    <t xml:space="preserve">Competitor relationship counts and scores are model estimates from Stage 5, not independently verified against those pages' actual content</t>
  </si>
  <si>
    <t xml:space="preserve">Competitor_Analysis, Relationship_Gaps</t>
  </si>
  <si>
    <t xml:space="preserve">Moderate — competitor scores are directional. The relationship gap identification (what Semrush lacks that OtterlyAI has) is validated against GT; the competitor scores themselves are not auditable.</t>
  </si>
  <si>
    <t xml:space="preserve">Competitor scores used for ranking and gap direction only, not for absolute comparison.</t>
  </si>
  <si>
    <t xml:space="preserve">Sec 3.3, F5</t>
  </si>
  <si>
    <t xml:space="preserve">The 'do not infer from domain knowledge' constraint is unenforceable — models cannot perfectly separate stated relationships from implied ones</t>
  </si>
  <si>
    <t xml:space="preserve">ChatGPT_V1_Relationships FEATURE_DESC count, Relationship_Boundary</t>
  </si>
  <si>
    <t xml:space="preserve">High for ChatGPT V1 — 11 of 28 triples were domain-knowledge inferences despite the constraint. Lower for Claude (0 violations) and Gemini (0 violations, but over-compensated by being too strict).</t>
  </si>
  <si>
    <t xml:space="preserve">Module will apply post-extraction relationship quality filter (as described in Sec 5.02). Each triple will be validated against its source sentence — if no source sentence can be cited, the triple is flagged for review.</t>
  </si>
  <si>
    <t xml:space="preserve">Sec 5.02, Relationship_Boundary</t>
  </si>
  <si>
    <t xml:space="preserve">Reasoning Score (0-100) is a model-assessed composite from Stage 4 — not a deterministic formula output</t>
  </si>
  <si>
    <t xml:space="preserve">Score_Comparison, Score_Discrimination</t>
  </si>
  <si>
    <t xml:space="preserve">High for ChatGPT and Gemini absolute scores. Claude's V1 (34) and V2 (72) are both within GT range; ChatGPT's V1 (68) and both Gemini scores (15, 88) are outside. The production module will use an explicit formula (chain depth 50%, coverage 30%, relationship count 20%) rather than model-assessed composite.</t>
  </si>
  <si>
    <t xml:space="preserve">Claude recommended as default (both scores within GT range). Production module will switch to deterministic formula for score calculation.</t>
  </si>
  <si>
    <t xml:space="preserve">Sec 5.01, Metrics_Calculator</t>
  </si>
</sst>
</file>

<file path=xl/styles.xml><?xml version="1.0" encoding="utf-8"?>
<styleSheet xmlns="http://schemas.openxmlformats.org/spreadsheetml/2006/main">
  <numFmts count="2">
    <numFmt numFmtId="164" formatCode="General"/>
    <numFmt numFmtId="165" formatCode="General"/>
  </numFmts>
  <fonts count="39">
    <font>
      <sz val="11"/>
      <color theme="1"/>
      <name val="Calibri"/>
      <family val="2"/>
      <charset val="1"/>
    </font>
    <font>
      <sz val="10"/>
      <name val="Arial"/>
      <family val="0"/>
    </font>
    <font>
      <sz val="10"/>
      <name val="Arial"/>
      <family val="0"/>
    </font>
    <font>
      <sz val="10"/>
      <name val="Arial"/>
      <family val="0"/>
    </font>
    <font>
      <b val="true"/>
      <sz val="15"/>
      <color rgb="FF0F4C75"/>
      <name val="Arial"/>
      <family val="0"/>
      <charset val="1"/>
    </font>
    <font>
      <i val="true"/>
      <sz val="10"/>
      <color rgb="FF4A4640"/>
      <name val="Arial"/>
      <family val="0"/>
      <charset val="1"/>
    </font>
    <font>
      <b val="true"/>
      <sz val="11"/>
      <color rgb="FF0F4C75"/>
      <name val="Arial"/>
      <family val="0"/>
      <charset val="1"/>
    </font>
    <font>
      <sz val="10"/>
      <color rgb="FF000000"/>
      <name val="Arial"/>
      <family val="0"/>
      <charset val="1"/>
    </font>
    <font>
      <b val="true"/>
      <sz val="10"/>
      <color rgb="FFFFFFFF"/>
      <name val="Arial"/>
      <family val="0"/>
      <charset val="1"/>
    </font>
    <font>
      <b val="true"/>
      <sz val="14"/>
      <color rgb="FF0F4C75"/>
      <name val="Arial"/>
      <family val="0"/>
      <charset val="1"/>
    </font>
    <font>
      <sz val="10"/>
      <color rgb="FF2E2B26"/>
      <name val="Arial"/>
      <family val="0"/>
      <charset val="1"/>
    </font>
    <font>
      <sz val="9"/>
      <color rgb="FF1A3A1A"/>
      <name val="Courier New"/>
      <family val="0"/>
      <charset val="1"/>
    </font>
    <font>
      <b val="true"/>
      <sz val="10"/>
      <color rgb="FF065F46"/>
      <name val="Arial"/>
      <family val="0"/>
      <charset val="1"/>
    </font>
    <font>
      <b val="true"/>
      <sz val="10"/>
      <color rgb="FF7C2D12"/>
      <name val="Arial"/>
      <family val="0"/>
      <charset val="1"/>
    </font>
    <font>
      <b val="true"/>
      <sz val="11"/>
      <color rgb="FF92400E"/>
      <name val="Arial"/>
      <family val="0"/>
      <charset val="1"/>
    </font>
    <font>
      <b val="true"/>
      <sz val="10"/>
      <color rgb="FF92400E"/>
      <name val="Arial"/>
      <family val="0"/>
      <charset val="1"/>
    </font>
    <font>
      <b val="true"/>
      <sz val="10"/>
      <color rgb="FF1E3A8A"/>
      <name val="Arial"/>
      <family val="0"/>
      <charset val="1"/>
    </font>
    <font>
      <sz val="10"/>
      <color rgb="FF065F46"/>
      <name val="Arial"/>
      <family val="0"/>
      <charset val="1"/>
    </font>
    <font>
      <b val="true"/>
      <sz val="13"/>
      <color rgb="FF0F4C75"/>
      <name val="Arial"/>
      <family val="0"/>
      <charset val="1"/>
    </font>
    <font>
      <i val="true"/>
      <sz val="9"/>
      <color rgb="FF4A4640"/>
      <name val="Arial"/>
      <family val="0"/>
      <charset val="1"/>
    </font>
    <font>
      <b val="true"/>
      <sz val="14"/>
      <color rgb="FF0000FF"/>
      <name val="Arial"/>
      <family val="0"/>
      <charset val="1"/>
    </font>
    <font>
      <i val="true"/>
      <sz val="10"/>
      <color rgb="FF1E3A5F"/>
      <name val="Arial"/>
      <family val="0"/>
      <charset val="1"/>
    </font>
    <font>
      <b val="true"/>
      <sz val="12"/>
      <color rgb="FF0000FF"/>
      <name val="Arial"/>
      <family val="0"/>
      <charset val="1"/>
    </font>
    <font>
      <sz val="10"/>
      <color rgb="FF92400E"/>
      <name val="Arial"/>
      <family val="0"/>
      <charset val="1"/>
    </font>
    <font>
      <b val="true"/>
      <sz val="10"/>
      <color rgb="FF0F4C75"/>
      <name val="Arial"/>
      <family val="0"/>
      <charset val="1"/>
    </font>
    <font>
      <b val="true"/>
      <sz val="12"/>
      <color rgb="FF000000"/>
      <name val="Arial"/>
      <family val="0"/>
      <charset val="1"/>
    </font>
    <font>
      <b val="true"/>
      <sz val="11"/>
      <color rgb="FF000000"/>
      <name val="Arial"/>
      <family val="0"/>
      <charset val="1"/>
    </font>
    <font>
      <b val="true"/>
      <sz val="11"/>
      <color rgb="FF065F46"/>
      <name val="Arial"/>
      <family val="0"/>
      <charset val="1"/>
    </font>
    <font>
      <b val="true"/>
      <sz val="11"/>
      <color rgb="FF7C2D12"/>
      <name val="Arial"/>
      <family val="0"/>
      <charset val="1"/>
    </font>
    <font>
      <b val="true"/>
      <sz val="10"/>
      <color rgb="FF1A1814"/>
      <name val="Arial"/>
      <family val="0"/>
      <charset val="1"/>
    </font>
    <font>
      <sz val="10"/>
      <color rgb="FF7C2D12"/>
      <name val="Arial"/>
      <family val="0"/>
      <charset val="1"/>
    </font>
    <font>
      <b val="true"/>
      <sz val="10"/>
      <color rgb="FF7A4A00"/>
      <name val="Arial"/>
      <family val="0"/>
      <charset val="1"/>
    </font>
    <font>
      <i val="true"/>
      <sz val="9"/>
      <color rgb="FF7A7570"/>
      <name val="Arial"/>
      <family val="0"/>
      <charset val="1"/>
    </font>
    <font>
      <b val="true"/>
      <sz val="11"/>
      <color rgb="FF0000FF"/>
      <name val="Arial"/>
      <family val="0"/>
      <charset val="1"/>
    </font>
    <font>
      <i val="true"/>
      <sz val="10"/>
      <color rgb="FF2E2B26"/>
      <name val="Arial"/>
      <family val="0"/>
      <charset val="1"/>
    </font>
    <font>
      <sz val="10"/>
      <color rgb="FF0000FF"/>
      <name val="Arial"/>
      <family val="0"/>
      <charset val="1"/>
    </font>
    <font>
      <sz val="10"/>
      <color rgb="FF1E3A8A"/>
      <name val="Arial"/>
      <family val="0"/>
      <charset val="1"/>
    </font>
    <font>
      <sz val="10"/>
      <color rgb="FF008000"/>
      <name val="Arial"/>
      <family val="0"/>
      <charset val="1"/>
    </font>
    <font>
      <b val="true"/>
      <sz val="10"/>
      <color rgb="FF1A4A2E"/>
      <name val="Arial"/>
      <family val="0"/>
      <charset val="1"/>
    </font>
  </fonts>
  <fills count="18">
    <fill>
      <patternFill patternType="none"/>
    </fill>
    <fill>
      <patternFill patternType="gray125"/>
    </fill>
    <fill>
      <patternFill patternType="solid">
        <fgColor rgb="FF0F4C75"/>
        <bgColor rgb="FF1E3A8A"/>
      </patternFill>
    </fill>
    <fill>
      <patternFill patternType="solid">
        <fgColor rgb="FFEFF6FB"/>
        <bgColor rgb="FFF0F7F0"/>
      </patternFill>
    </fill>
    <fill>
      <patternFill patternType="solid">
        <fgColor rgb="FFF0F7F0"/>
        <bgColor rgb="FFEFF6FB"/>
      </patternFill>
    </fill>
    <fill>
      <patternFill patternType="solid">
        <fgColor rgb="FF92400E"/>
        <bgColor rgb="FF7A4A00"/>
      </patternFill>
    </fill>
    <fill>
      <patternFill patternType="solid">
        <fgColor rgb="FFD4EDDA"/>
        <bgColor rgb="FFD1FAE5"/>
      </patternFill>
    </fill>
    <fill>
      <patternFill patternType="solid">
        <fgColor rgb="FFFEE2E2"/>
        <bgColor rgb="FFFFE2CC"/>
      </patternFill>
    </fill>
    <fill>
      <patternFill patternType="solid">
        <fgColor rgb="FFFFF3CD"/>
        <bgColor rgb="FFFFE2CC"/>
      </patternFill>
    </fill>
    <fill>
      <patternFill patternType="solid">
        <fgColor rgb="FFD1FAE5"/>
        <bgColor rgb="FFD4EDDA"/>
      </patternFill>
    </fill>
    <fill>
      <patternFill patternType="solid">
        <fgColor rgb="FFDBEAFE"/>
        <bgColor rgb="FFE8F0FA"/>
      </patternFill>
    </fill>
    <fill>
      <patternFill patternType="solid">
        <fgColor rgb="FF1E5F3A"/>
        <bgColor rgb="FF065F46"/>
      </patternFill>
    </fill>
    <fill>
      <patternFill patternType="solid">
        <fgColor rgb="FF7C2D12"/>
        <bgColor rgb="FF92400E"/>
      </patternFill>
    </fill>
    <fill>
      <patternFill patternType="solid">
        <fgColor rgb="FFFFE2CC"/>
        <bgColor rgb="FFFEE2E2"/>
      </patternFill>
    </fill>
    <fill>
      <patternFill patternType="solid">
        <fgColor rgb="FF1E3A8A"/>
        <bgColor rgb="FF1E3A5F"/>
      </patternFill>
    </fill>
    <fill>
      <patternFill patternType="solid">
        <fgColor rgb="FFE8E0F5"/>
        <bgColor rgb="FFDBEAFE"/>
      </patternFill>
    </fill>
    <fill>
      <patternFill patternType="solid">
        <fgColor rgb="FFE8F0FA"/>
        <bgColor rgb="FFEFF6FB"/>
      </patternFill>
    </fill>
    <fill>
      <patternFill patternType="solid">
        <fgColor rgb="FF065F46"/>
        <bgColor rgb="FF1E5F3A"/>
      </patternFill>
    </fill>
  </fills>
  <borders count="3">
    <border diagonalUp="false" diagonalDown="false">
      <left/>
      <right/>
      <top/>
      <bottom/>
      <diagonal/>
    </border>
    <border diagonalUp="false" diagonalDown="false">
      <left style="thin">
        <color rgb="FFC8C4BC"/>
      </left>
      <right style="thin">
        <color rgb="FFC8C4BC"/>
      </right>
      <top style="thin">
        <color rgb="FFC8C4BC"/>
      </top>
      <bottom style="thin">
        <color rgb="FFC8C4BC"/>
      </bottom>
      <diagonal/>
    </border>
    <border diagonalUp="false" diagonalDown="false">
      <left style="thin">
        <color rgb="FFC8C4BC"/>
      </left>
      <right/>
      <top style="thin">
        <color rgb="FFC8C4BC"/>
      </top>
      <bottom style="thin">
        <color rgb="FFC8C4B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left" vertical="center"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4" borderId="0" xfId="0" applyFont="true" applyBorder="true" applyAlignment="true" applyProtection="false">
      <alignment horizontal="general" vertical="center" textRotation="0" wrapText="false" indent="0" shrinkToFit="false"/>
      <protection locked="true" hidden="false"/>
    </xf>
    <xf numFmtId="164" fontId="8" fillId="5" borderId="0" xfId="0" applyFont="true" applyBorder="true" applyAlignment="true" applyProtection="false">
      <alignment horizontal="left" vertical="center" textRotation="0" wrapText="fals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12" fillId="6" borderId="1" xfId="0" applyFont="true" applyBorder="true" applyAlignment="true" applyProtection="false">
      <alignment horizontal="general" vertical="top" textRotation="0" wrapText="true" indent="0" shrinkToFit="false"/>
      <protection locked="true" hidden="false"/>
    </xf>
    <xf numFmtId="164" fontId="13" fillId="7"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12" fillId="9" borderId="1" xfId="0" applyFont="true" applyBorder="true" applyAlignment="true" applyProtection="false">
      <alignment horizontal="general" vertical="top" textRotation="0" wrapText="true" indent="0" shrinkToFit="false"/>
      <protection locked="true" hidden="false"/>
    </xf>
    <xf numFmtId="164" fontId="16" fillId="10" borderId="1" xfId="0" applyFont="true" applyBorder="true" applyAlignment="true" applyProtection="false">
      <alignment horizontal="general" vertical="top" textRotation="0" wrapText="true" indent="0" shrinkToFit="false"/>
      <protection locked="true" hidden="false"/>
    </xf>
    <xf numFmtId="164" fontId="17" fillId="6" borderId="0" xfId="0" applyFont="true" applyBorder="true" applyAlignment="tru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left" vertical="center"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8" fillId="11" borderId="0" xfId="0" applyFont="true" applyBorder="true" applyAlignment="true" applyProtection="false">
      <alignment horizontal="left" vertical="center" textRotation="0" wrapText="false" indent="0" shrinkToFit="false"/>
      <protection locked="true" hidden="false"/>
    </xf>
    <xf numFmtId="164" fontId="8" fillId="11" borderId="1" xfId="0" applyFont="true" applyBorder="true" applyAlignment="true" applyProtection="false">
      <alignment horizontal="left" vertical="center"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5" fontId="0" fillId="0" borderId="1" xfId="0" applyFont="false" applyBorder="true" applyAlignment="true" applyProtection="false">
      <alignment horizontal="general" vertical="bottom" textRotation="0" wrapText="false" indent="0" shrinkToFit="false"/>
      <protection locked="true" hidden="false"/>
    </xf>
    <xf numFmtId="165" fontId="0" fillId="9" borderId="1" xfId="0" applyFont="false" applyBorder="true" applyAlignment="true" applyProtection="false">
      <alignment horizontal="general" vertical="bottom" textRotation="0" wrapText="false" indent="0" shrinkToFit="false"/>
      <protection locked="true" hidden="false"/>
    </xf>
    <xf numFmtId="165" fontId="0" fillId="7" borderId="1" xfId="0" applyFont="false" applyBorder="true" applyAlignment="tru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general" vertical="bottom" textRotation="0" wrapText="false" indent="0" shrinkToFit="false"/>
      <protection locked="true" hidden="false"/>
    </xf>
    <xf numFmtId="164" fontId="8" fillId="12" borderId="0" xfId="0" applyFont="true" applyBorder="true" applyAlignment="true" applyProtection="false">
      <alignment horizontal="left" vertical="center" textRotation="0" wrapText="false" indent="0" shrinkToFit="false"/>
      <protection locked="true" hidden="false"/>
    </xf>
    <xf numFmtId="164" fontId="8" fillId="12" borderId="1" xfId="0" applyFont="true" applyBorder="true" applyAlignment="true" applyProtection="false">
      <alignment horizontal="left" vertical="center" textRotation="0" wrapText="true" indent="0" shrinkToFit="false"/>
      <protection locked="true" hidden="false"/>
    </xf>
    <xf numFmtId="164" fontId="13" fillId="13" borderId="1" xfId="0" applyFont="true" applyBorder="true" applyAlignment="true" applyProtection="false">
      <alignment horizontal="general" vertical="top" textRotation="0" wrapText="true" indent="0" shrinkToFit="false"/>
      <protection locked="true" hidden="false"/>
    </xf>
    <xf numFmtId="164" fontId="8" fillId="14" borderId="0" xfId="0" applyFont="true" applyBorder="true" applyAlignment="true" applyProtection="false">
      <alignment horizontal="left" vertical="center" textRotation="0" wrapText="false" indent="0" shrinkToFit="false"/>
      <protection locked="true" hidden="false"/>
    </xf>
    <xf numFmtId="164" fontId="8" fillId="14" borderId="1" xfId="0" applyFont="true" applyBorder="true" applyAlignment="true" applyProtection="false">
      <alignment horizontal="left" vertical="center" textRotation="0" wrapText="true" indent="0" shrinkToFit="false"/>
      <protection locked="true" hidden="false"/>
    </xf>
    <xf numFmtId="164" fontId="0" fillId="15" borderId="1" xfId="0" applyFont="true" applyBorder="true" applyAlignment="true" applyProtection="false">
      <alignment horizontal="general" vertical="top" textRotation="0" wrapText="true" indent="0" shrinkToFit="false"/>
      <protection locked="true" hidden="false"/>
    </xf>
    <xf numFmtId="164" fontId="20" fillId="0" borderId="1" xfId="0" applyFont="true" applyBorder="true" applyAlignment="true" applyProtection="false">
      <alignment horizontal="general" vertical="top" textRotation="0" wrapText="tru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0" fillId="6" borderId="1" xfId="0" applyFont="true" applyBorder="true" applyAlignment="true" applyProtection="false">
      <alignment horizontal="general" vertical="top" textRotation="0" wrapText="true" indent="0" shrinkToFit="false"/>
      <protection locked="true" hidden="false"/>
    </xf>
    <xf numFmtId="164" fontId="0" fillId="8" borderId="1" xfId="0" applyFont="true" applyBorder="true" applyAlignment="true" applyProtection="false">
      <alignment horizontal="general" vertical="top" textRotation="0" wrapText="true" indent="0" shrinkToFit="false"/>
      <protection locked="true" hidden="false"/>
    </xf>
    <xf numFmtId="164" fontId="21" fillId="16" borderId="0" xfId="0" applyFont="true" applyBorder="true" applyAlignment="true" applyProtection="false">
      <alignment horizontal="general" vertical="top" textRotation="0" wrapText="true" indent="0" shrinkToFit="false"/>
      <protection locked="true" hidden="false"/>
    </xf>
    <xf numFmtId="164" fontId="0" fillId="13" borderId="1" xfId="0" applyFont="true" applyBorder="true" applyAlignment="true" applyProtection="false">
      <alignment horizontal="general" vertical="top" textRotation="0" wrapText="true" indent="0" shrinkToFit="false"/>
      <protection locked="true" hidden="false"/>
    </xf>
    <xf numFmtId="164" fontId="22" fillId="0" borderId="1" xfId="0" applyFont="true" applyBorder="true" applyAlignment="true" applyProtection="false">
      <alignment horizontal="general" vertical="top" textRotation="0" wrapText="true" indent="0" shrinkToFit="false"/>
      <protection locked="true" hidden="false"/>
    </xf>
    <xf numFmtId="164" fontId="0" fillId="7" borderId="1" xfId="0" applyFont="true" applyBorder="true" applyAlignment="true" applyProtection="false">
      <alignment horizontal="general" vertical="top" textRotation="0" wrapText="true" indent="0" shrinkToFit="false"/>
      <protection locked="true" hidden="false"/>
    </xf>
    <xf numFmtId="164" fontId="23" fillId="0" borderId="1" xfId="0" applyFont="true" applyBorder="true" applyAlignment="true" applyProtection="false">
      <alignment horizontal="general" vertical="top" textRotation="0" wrapText="tru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0" fillId="6" borderId="0" xfId="0" applyFont="true" applyBorder="true" applyAlignment="true" applyProtection="false">
      <alignment horizontal="general" vertical="top" textRotation="0" wrapText="true" indent="0" shrinkToFit="false"/>
      <protection locked="true" hidden="false"/>
    </xf>
    <xf numFmtId="165" fontId="25" fillId="0" borderId="1" xfId="0" applyFont="true" applyBorder="true" applyAlignment="true" applyProtection="false">
      <alignment horizontal="general" vertical="top" textRotation="0" wrapText="true" indent="0" shrinkToFit="false"/>
      <protection locked="true" hidden="false"/>
    </xf>
    <xf numFmtId="164" fontId="26" fillId="6" borderId="0" xfId="0" applyFont="true" applyBorder="false" applyAlignment="true" applyProtection="false">
      <alignment horizontal="general" vertical="bottom" textRotation="0" wrapText="false" indent="0" shrinkToFit="false"/>
      <protection locked="true" hidden="false"/>
    </xf>
    <xf numFmtId="164" fontId="27" fillId="9" borderId="1"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general" vertical="top" textRotation="0" wrapText="true" indent="0" shrinkToFit="false"/>
      <protection locked="true" hidden="false"/>
    </xf>
    <xf numFmtId="164" fontId="28" fillId="7" borderId="1" xfId="0" applyFont="true" applyBorder="true" applyAlignment="true" applyProtection="false">
      <alignment horizontal="center" vertical="center" textRotation="0" wrapText="false" indent="0" shrinkToFit="false"/>
      <protection locked="true" hidden="false"/>
    </xf>
    <xf numFmtId="164" fontId="29" fillId="0" borderId="1" xfId="0" applyFont="true" applyBorder="true" applyAlignment="true" applyProtection="false">
      <alignment horizontal="general" vertical="top" textRotation="0" wrapText="true" indent="0" shrinkToFit="false"/>
      <protection locked="true" hidden="false"/>
    </xf>
    <xf numFmtId="164" fontId="17" fillId="9"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30" fillId="7" borderId="1" xfId="0" applyFont="true" applyBorder="true" applyAlignment="true" applyProtection="false">
      <alignment horizontal="general" vertical="top" textRotation="0" wrapText="true" indent="0" shrinkToFit="false"/>
      <protection locked="true" hidden="false"/>
    </xf>
    <xf numFmtId="164" fontId="10" fillId="8" borderId="1" xfId="0" applyFont="true" applyBorder="true" applyAlignment="true" applyProtection="false">
      <alignment horizontal="general" vertical="top" textRotation="0" wrapText="true" indent="0" shrinkToFit="false"/>
      <protection locked="true" hidden="false"/>
    </xf>
    <xf numFmtId="164" fontId="31" fillId="8" borderId="1" xfId="0" applyFont="true" applyBorder="true" applyAlignment="true" applyProtection="false">
      <alignment horizontal="general" vertical="top" textRotation="0" wrapText="true" indent="0" shrinkToFit="false"/>
      <protection locked="true" hidden="false"/>
    </xf>
    <xf numFmtId="164" fontId="25" fillId="0" borderId="1" xfId="0" applyFont="true" applyBorder="true" applyAlignment="true" applyProtection="false">
      <alignment horizontal="general" vertical="bottom" textRotation="0" wrapText="false" indent="0" shrinkToFit="false"/>
      <protection locked="true" hidden="false"/>
    </xf>
    <xf numFmtId="164" fontId="32" fillId="0" borderId="0" xfId="0" applyFont="true" applyBorder="true" applyAlignment="true" applyProtection="false">
      <alignment horizontal="general" vertical="bottom" textRotation="0" wrapText="false" indent="0" shrinkToFit="false"/>
      <protection locked="true" hidden="false"/>
    </xf>
    <xf numFmtId="164" fontId="33" fillId="0" borderId="1" xfId="0" applyFont="true" applyBorder="true" applyAlignment="true" applyProtection="false">
      <alignment horizontal="general" vertical="top" textRotation="0" wrapText="true" indent="0" shrinkToFit="false"/>
      <protection locked="true" hidden="false"/>
    </xf>
    <xf numFmtId="164" fontId="34" fillId="8" borderId="0" xfId="0" applyFont="true" applyBorder="true" applyAlignment="true" applyProtection="false">
      <alignment horizontal="general" vertical="top" textRotation="0" wrapText="true" indent="0" shrinkToFit="false"/>
      <protection locked="true" hidden="false"/>
    </xf>
    <xf numFmtId="164" fontId="8" fillId="17" borderId="1" xfId="0" applyFont="true" applyBorder="true" applyAlignment="true" applyProtection="false">
      <alignment horizontal="left" vertical="center" textRotation="0" wrapText="true" indent="0" shrinkToFit="false"/>
      <protection locked="true" hidden="false"/>
    </xf>
    <xf numFmtId="164" fontId="24"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35" fillId="0" borderId="1" xfId="0" applyFont="true" applyBorder="true" applyAlignment="true" applyProtection="false">
      <alignment horizontal="general" vertical="top" textRotation="0" wrapText="true" indent="0" shrinkToFit="false"/>
      <protection locked="true" hidden="false"/>
    </xf>
    <xf numFmtId="164" fontId="30" fillId="0" borderId="1" xfId="0" applyFont="true" applyBorder="true" applyAlignment="true" applyProtection="false">
      <alignment horizontal="general" vertical="top" textRotation="0" wrapText="true" indent="0" shrinkToFit="false"/>
      <protection locked="true" hidden="false"/>
    </xf>
    <xf numFmtId="164" fontId="36" fillId="0" borderId="1" xfId="0" applyFont="true" applyBorder="true" applyAlignment="true" applyProtection="false">
      <alignment horizontal="general" vertical="top" textRotation="0" wrapText="true" indent="0" shrinkToFit="false"/>
      <protection locked="true" hidden="false"/>
    </xf>
    <xf numFmtId="165" fontId="25" fillId="6" borderId="1" xfId="0" applyFont="true" applyBorder="true" applyAlignment="true" applyProtection="false">
      <alignment horizontal="general" vertical="bottom" textRotation="0" wrapText="false" indent="0" shrinkToFit="false"/>
      <protection locked="true" hidden="false"/>
    </xf>
    <xf numFmtId="165" fontId="25" fillId="8" borderId="1" xfId="0" applyFont="true" applyBorder="true" applyAlignment="true" applyProtection="false">
      <alignment horizontal="general" vertical="bottom" textRotation="0" wrapText="false" indent="0" shrinkToFit="false"/>
      <protection locked="true" hidden="false"/>
    </xf>
    <xf numFmtId="164" fontId="0" fillId="6" borderId="1" xfId="0" applyFont="fals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37" fillId="0" borderId="1" xfId="0" applyFont="true" applyBorder="true" applyAlignment="true" applyProtection="false">
      <alignment horizontal="general" vertical="top" textRotation="0" wrapText="true" indent="0" shrinkToFit="false"/>
      <protection locked="true" hidden="false"/>
    </xf>
    <xf numFmtId="164" fontId="38" fillId="6"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1A4A2E"/>
      <rgbColor rgb="FF7A4A00"/>
      <rgbColor rgb="FF800080"/>
      <rgbColor rgb="FF065F46"/>
      <rgbColor rgb="FFC8C4BC"/>
      <rgbColor rgb="FF7A7570"/>
      <rgbColor rgb="FF9999FF"/>
      <rgbColor rgb="FF7C2D12"/>
      <rgbColor rgb="FFFFF3CD"/>
      <rgbColor rgb="FFDBEAFE"/>
      <rgbColor rgb="FF660066"/>
      <rgbColor rgb="FFFF8080"/>
      <rgbColor rgb="FF0F4C75"/>
      <rgbColor rgb="FFE8E0F5"/>
      <rgbColor rgb="FF000080"/>
      <rgbColor rgb="FFFF00FF"/>
      <rgbColor rgb="FFFFFF00"/>
      <rgbColor rgb="FF00FFFF"/>
      <rgbColor rgb="FF800080"/>
      <rgbColor rgb="FF800000"/>
      <rgbColor rgb="FF1E5F3A"/>
      <rgbColor rgb="FF0000FF"/>
      <rgbColor rgb="FF00CCFF"/>
      <rgbColor rgb="FFD4EDDA"/>
      <rgbColor rgb="FFD1FAE5"/>
      <rgbColor rgb="FFF0F7F0"/>
      <rgbColor rgb="FFE8F0FA"/>
      <rgbColor rgb="FFFEE2E2"/>
      <rgbColor rgb="FFEFF6FB"/>
      <rgbColor rgb="FFFFE2CC"/>
      <rgbColor rgb="FF3366FF"/>
      <rgbColor rgb="FF33CCCC"/>
      <rgbColor rgb="FF99CC00"/>
      <rgbColor rgb="FFFFCC00"/>
      <rgbColor rgb="FFFF9900"/>
      <rgbColor rgb="FFFF6600"/>
      <rgbColor rgb="FF4A4640"/>
      <rgbColor rgb="FF969696"/>
      <rgbColor rgb="FF1E3A5F"/>
      <rgbColor rgb="FF339966"/>
      <rgbColor rgb="FF1A1814"/>
      <rgbColor rgb="FF1A3A1A"/>
      <rgbColor rgb="FF92400E"/>
      <rgbColor rgb="FF993366"/>
      <rgbColor rgb="FF1E3A8A"/>
      <rgbColor rgb="FF2E2B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4C75"/>
    <pageSetUpPr fitToPage="false"/>
  </sheetPr>
  <dimension ref="A1:H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8"/>
    <col collapsed="false" customWidth="true" hidden="false" outlineLevel="0" max="3" min="3" style="1" width="62"/>
    <col collapsed="false" customWidth="true" hidden="false" outlineLevel="0" max="5" min="4" style="1" width="18"/>
  </cols>
  <sheetData>
    <row r="1" customFormat="false" ht="33.75" hidden="false" customHeight="true" outlineLevel="0" collapsed="false">
      <c r="A1" s="2" t="s">
        <v>0</v>
      </c>
      <c r="B1" s="2"/>
      <c r="C1" s="2"/>
      <c r="D1" s="2"/>
      <c r="E1" s="2"/>
      <c r="F1" s="2"/>
      <c r="G1" s="2"/>
      <c r="H1" s="2"/>
    </row>
    <row r="2" customFormat="false" ht="18" hidden="false" customHeight="true" outlineLevel="0" collapsed="false">
      <c r="A2" s="3" t="s">
        <v>1</v>
      </c>
      <c r="B2" s="3"/>
      <c r="C2" s="3"/>
      <c r="D2" s="3"/>
      <c r="E2" s="3"/>
      <c r="F2" s="3"/>
      <c r="G2" s="3"/>
      <c r="H2" s="3"/>
    </row>
    <row r="4" customFormat="false" ht="15" hidden="false" customHeight="true" outlineLevel="0" collapsed="false">
      <c r="A4" s="4" t="s">
        <v>2</v>
      </c>
      <c r="B4" s="4"/>
      <c r="C4" s="4"/>
      <c r="D4" s="4"/>
      <c r="E4" s="4"/>
      <c r="F4" s="4"/>
      <c r="G4" s="4"/>
      <c r="H4" s="4"/>
    </row>
    <row r="5" customFormat="false" ht="18" hidden="false" customHeight="true" outlineLevel="0" collapsed="false">
      <c r="A5" s="5" t="s">
        <v>3</v>
      </c>
      <c r="B5" s="5"/>
      <c r="C5" s="5"/>
      <c r="D5" s="5"/>
      <c r="E5" s="5"/>
      <c r="F5" s="5"/>
      <c r="G5" s="5"/>
      <c r="H5" s="5"/>
    </row>
    <row r="6" customFormat="false" ht="18" hidden="false" customHeight="true" outlineLevel="0" collapsed="false">
      <c r="A6" s="5" t="s">
        <v>4</v>
      </c>
      <c r="B6" s="5"/>
      <c r="C6" s="5"/>
      <c r="D6" s="5"/>
      <c r="E6" s="5"/>
      <c r="F6" s="5"/>
      <c r="G6" s="5"/>
      <c r="H6" s="5"/>
    </row>
    <row r="7" customFormat="false" ht="18" hidden="false" customHeight="true" outlineLevel="0" collapsed="false">
      <c r="A7" s="5" t="s">
        <v>5</v>
      </c>
      <c r="B7" s="5"/>
      <c r="C7" s="5"/>
      <c r="D7" s="5"/>
      <c r="E7" s="5"/>
      <c r="F7" s="5"/>
      <c r="G7" s="5"/>
      <c r="H7" s="5"/>
    </row>
    <row r="8" customFormat="false" ht="18" hidden="false" customHeight="true" outlineLevel="0" collapsed="false">
      <c r="A8" s="5" t="s">
        <v>6</v>
      </c>
      <c r="B8" s="5"/>
      <c r="C8" s="5"/>
      <c r="D8" s="5"/>
      <c r="E8" s="5"/>
      <c r="F8" s="5"/>
      <c r="G8" s="5"/>
      <c r="H8" s="5"/>
    </row>
    <row r="9" customFormat="false" ht="18" hidden="false" customHeight="true" outlineLevel="0" collapsed="false">
      <c r="A9" s="5" t="s">
        <v>7</v>
      </c>
      <c r="B9" s="5"/>
      <c r="C9" s="5"/>
      <c r="D9" s="5"/>
      <c r="E9" s="5"/>
      <c r="F9" s="5"/>
      <c r="G9" s="5"/>
      <c r="H9" s="5"/>
    </row>
    <row r="10" customFormat="false" ht="18" hidden="false" customHeight="true" outlineLevel="0" collapsed="false">
      <c r="A10" s="5" t="s">
        <v>8</v>
      </c>
      <c r="B10" s="5"/>
      <c r="C10" s="5"/>
      <c r="D10" s="5"/>
      <c r="E10" s="5"/>
      <c r="F10" s="5"/>
      <c r="G10" s="5"/>
      <c r="H10" s="5"/>
    </row>
    <row r="12" customFormat="false" ht="15" hidden="false" customHeight="true" outlineLevel="0" collapsed="false">
      <c r="A12" s="6" t="s">
        <v>9</v>
      </c>
    </row>
    <row r="13" customFormat="false" ht="27.75" hidden="false" customHeight="true" outlineLevel="0" collapsed="false">
      <c r="A13" s="7" t="s">
        <v>10</v>
      </c>
      <c r="B13" s="7" t="s">
        <v>11</v>
      </c>
      <c r="C13" s="7" t="s">
        <v>12</v>
      </c>
      <c r="D13" s="7" t="s">
        <v>13</v>
      </c>
      <c r="E13" s="7" t="s">
        <v>14</v>
      </c>
    </row>
    <row r="14" customFormat="false" ht="15" hidden="false" customHeight="true" outlineLevel="0" collapsed="false">
      <c r="A14" s="8" t="n">
        <v>1</v>
      </c>
      <c r="B14" s="8" t="s">
        <v>15</v>
      </c>
      <c r="C14" s="8" t="s">
        <v>16</v>
      </c>
      <c r="D14" s="8" t="s">
        <v>17</v>
      </c>
      <c r="E14" s="8" t="s">
        <v>18</v>
      </c>
    </row>
    <row r="15" customFormat="false" ht="15" hidden="false" customHeight="true" outlineLevel="0" collapsed="false">
      <c r="A15" s="9" t="n">
        <v>2</v>
      </c>
      <c r="B15" s="9" t="s">
        <v>19</v>
      </c>
      <c r="C15" s="9" t="s">
        <v>20</v>
      </c>
      <c r="D15" s="9" t="s">
        <v>21</v>
      </c>
      <c r="E15" s="9" t="s">
        <v>22</v>
      </c>
    </row>
    <row r="16" customFormat="false" ht="23.25" hidden="false" customHeight="true" outlineLevel="0" collapsed="false">
      <c r="A16" s="8" t="n">
        <v>3</v>
      </c>
      <c r="B16" s="8" t="s">
        <v>23</v>
      </c>
      <c r="C16" s="8" t="s">
        <v>24</v>
      </c>
      <c r="D16" s="8" t="s">
        <v>25</v>
      </c>
      <c r="E16" s="8" t="s">
        <v>26</v>
      </c>
    </row>
    <row r="17" customFormat="false" ht="23.25" hidden="false" customHeight="true" outlineLevel="0" collapsed="false">
      <c r="A17" s="9" t="n">
        <v>4</v>
      </c>
      <c r="B17" s="9" t="s">
        <v>27</v>
      </c>
      <c r="C17" s="9" t="s">
        <v>28</v>
      </c>
      <c r="D17" s="9" t="s">
        <v>25</v>
      </c>
      <c r="E17" s="9" t="s">
        <v>26</v>
      </c>
    </row>
    <row r="18" customFormat="false" ht="15" hidden="false" customHeight="true" outlineLevel="0" collapsed="false">
      <c r="A18" s="8" t="n">
        <v>5</v>
      </c>
      <c r="B18" s="8" t="s">
        <v>29</v>
      </c>
      <c r="C18" s="8" t="s">
        <v>30</v>
      </c>
      <c r="D18" s="8" t="s">
        <v>31</v>
      </c>
      <c r="E18" s="8" t="s">
        <v>32</v>
      </c>
    </row>
    <row r="19" customFormat="false" ht="15" hidden="false" customHeight="true" outlineLevel="0" collapsed="false">
      <c r="A19" s="9" t="n">
        <v>6</v>
      </c>
      <c r="B19" s="9" t="s">
        <v>33</v>
      </c>
      <c r="C19" s="9" t="s">
        <v>34</v>
      </c>
      <c r="D19" s="9" t="s">
        <v>35</v>
      </c>
      <c r="E19" s="9" t="s">
        <v>36</v>
      </c>
    </row>
    <row r="20" customFormat="false" ht="23.25" hidden="false" customHeight="true" outlineLevel="0" collapsed="false">
      <c r="A20" s="8" t="n">
        <v>7</v>
      </c>
      <c r="B20" s="8" t="s">
        <v>37</v>
      </c>
      <c r="C20" s="8" t="s">
        <v>38</v>
      </c>
      <c r="D20" s="8" t="s">
        <v>39</v>
      </c>
      <c r="E20" s="8" t="s">
        <v>40</v>
      </c>
    </row>
    <row r="21" customFormat="false" ht="23.25" hidden="false" customHeight="true" outlineLevel="0" collapsed="false">
      <c r="A21" s="9" t="n">
        <v>8</v>
      </c>
      <c r="B21" s="9" t="s">
        <v>41</v>
      </c>
      <c r="C21" s="9" t="s">
        <v>42</v>
      </c>
      <c r="D21" s="9" t="s">
        <v>43</v>
      </c>
      <c r="E21" s="9" t="s">
        <v>40</v>
      </c>
    </row>
    <row r="22" customFormat="false" ht="15" hidden="false" customHeight="true" outlineLevel="0" collapsed="false">
      <c r="A22" s="8" t="n">
        <v>9</v>
      </c>
      <c r="B22" s="8" t="s">
        <v>44</v>
      </c>
      <c r="C22" s="8" t="s">
        <v>45</v>
      </c>
      <c r="D22" s="8" t="s">
        <v>46</v>
      </c>
      <c r="E22" s="8" t="s">
        <v>40</v>
      </c>
    </row>
    <row r="23" customFormat="false" ht="15" hidden="false" customHeight="true" outlineLevel="0" collapsed="false">
      <c r="A23" s="9" t="n">
        <v>10</v>
      </c>
      <c r="B23" s="9" t="s">
        <v>47</v>
      </c>
      <c r="C23" s="9" t="s">
        <v>48</v>
      </c>
      <c r="D23" s="9" t="s">
        <v>49</v>
      </c>
      <c r="E23" s="9" t="s">
        <v>40</v>
      </c>
    </row>
    <row r="24" customFormat="false" ht="15" hidden="false" customHeight="true" outlineLevel="0" collapsed="false">
      <c r="A24" s="8" t="n">
        <v>11</v>
      </c>
      <c r="B24" s="8" t="s">
        <v>50</v>
      </c>
      <c r="C24" s="8" t="s">
        <v>51</v>
      </c>
      <c r="D24" s="8" t="s">
        <v>49</v>
      </c>
      <c r="E24" s="8" t="s">
        <v>40</v>
      </c>
    </row>
    <row r="25" customFormat="false" ht="15" hidden="false" customHeight="true" outlineLevel="0" collapsed="false">
      <c r="A25" s="9" t="n">
        <v>12</v>
      </c>
      <c r="B25" s="9" t="s">
        <v>52</v>
      </c>
      <c r="C25" s="9" t="s">
        <v>53</v>
      </c>
      <c r="D25" s="9" t="s">
        <v>49</v>
      </c>
      <c r="E25" s="9" t="s">
        <v>40</v>
      </c>
    </row>
    <row r="26" customFormat="false" ht="23.25" hidden="false" customHeight="true" outlineLevel="0" collapsed="false">
      <c r="A26" s="8" t="n">
        <v>13</v>
      </c>
      <c r="B26" s="8" t="s">
        <v>54</v>
      </c>
      <c r="C26" s="8" t="s">
        <v>55</v>
      </c>
      <c r="D26" s="8" t="s">
        <v>56</v>
      </c>
      <c r="E26" s="8" t="s">
        <v>57</v>
      </c>
    </row>
    <row r="27" customFormat="false" ht="15" hidden="false" customHeight="true" outlineLevel="0" collapsed="false">
      <c r="A27" s="9" t="n">
        <v>14</v>
      </c>
      <c r="B27" s="9" t="s">
        <v>58</v>
      </c>
      <c r="C27" s="9" t="s">
        <v>59</v>
      </c>
      <c r="D27" s="9" t="s">
        <v>60</v>
      </c>
      <c r="E27" s="9" t="s">
        <v>61</v>
      </c>
    </row>
    <row r="28" customFormat="false" ht="15" hidden="false" customHeight="true" outlineLevel="0" collapsed="false">
      <c r="A28" s="8" t="n">
        <v>15</v>
      </c>
      <c r="B28" s="8" t="s">
        <v>62</v>
      </c>
      <c r="C28" s="8" t="s">
        <v>63</v>
      </c>
      <c r="D28" s="8" t="s">
        <v>64</v>
      </c>
      <c r="E28" s="8" t="s">
        <v>65</v>
      </c>
    </row>
    <row r="29" customFormat="false" ht="15" hidden="false" customHeight="true" outlineLevel="0" collapsed="false">
      <c r="A29" s="9" t="n">
        <v>16</v>
      </c>
      <c r="B29" s="9" t="s">
        <v>66</v>
      </c>
      <c r="C29" s="9" t="s">
        <v>67</v>
      </c>
      <c r="D29" s="9" t="s">
        <v>68</v>
      </c>
      <c r="E29" s="9" t="s">
        <v>69</v>
      </c>
    </row>
    <row r="30" customFormat="false" ht="15" hidden="false" customHeight="true" outlineLevel="0" collapsed="false">
      <c r="A30" s="8" t="n">
        <v>17</v>
      </c>
      <c r="B30" s="8" t="s">
        <v>70</v>
      </c>
      <c r="C30" s="8" t="s">
        <v>71</v>
      </c>
      <c r="D30" s="8" t="s">
        <v>72</v>
      </c>
      <c r="E30" s="8" t="s">
        <v>73</v>
      </c>
    </row>
    <row r="31" customFormat="false" ht="15" hidden="false" customHeight="true" outlineLevel="0" collapsed="false">
      <c r="A31" s="9" t="n">
        <v>18</v>
      </c>
      <c r="B31" s="9" t="s">
        <v>74</v>
      </c>
      <c r="C31" s="9" t="s">
        <v>75</v>
      </c>
      <c r="D31" s="9" t="s">
        <v>68</v>
      </c>
      <c r="E31" s="9" t="s">
        <v>57</v>
      </c>
    </row>
    <row r="32" customFormat="false" ht="15" hidden="false" customHeight="true" outlineLevel="0" collapsed="false">
      <c r="A32" s="8" t="n">
        <v>19</v>
      </c>
      <c r="B32" s="8" t="s">
        <v>76</v>
      </c>
      <c r="C32" s="8" t="s">
        <v>77</v>
      </c>
      <c r="D32" s="8" t="s">
        <v>78</v>
      </c>
      <c r="E32" s="8" t="s">
        <v>79</v>
      </c>
    </row>
    <row r="33" customFormat="false" ht="15" hidden="false" customHeight="true" outlineLevel="0" collapsed="false">
      <c r="A33" s="9" t="n">
        <v>20</v>
      </c>
      <c r="B33" s="9" t="s">
        <v>80</v>
      </c>
      <c r="C33" s="9" t="s">
        <v>81</v>
      </c>
      <c r="D33" s="9" t="s">
        <v>78</v>
      </c>
      <c r="E33" s="9" t="s">
        <v>82</v>
      </c>
    </row>
    <row r="34" customFormat="false" ht="15" hidden="false" customHeight="true" outlineLevel="0" collapsed="false">
      <c r="A34" s="8" t="n">
        <v>21</v>
      </c>
      <c r="B34" s="8" t="s">
        <v>83</v>
      </c>
      <c r="C34" s="8" t="s">
        <v>84</v>
      </c>
      <c r="D34" s="8" t="s">
        <v>85</v>
      </c>
      <c r="E34" s="8" t="s">
        <v>69</v>
      </c>
    </row>
    <row r="35" customFormat="false" ht="15" hidden="false" customHeight="true" outlineLevel="0" collapsed="false">
      <c r="A35" s="9" t="n">
        <v>22</v>
      </c>
      <c r="B35" s="9" t="s">
        <v>86</v>
      </c>
      <c r="C35" s="9" t="s">
        <v>87</v>
      </c>
      <c r="D35" s="9" t="s">
        <v>88</v>
      </c>
      <c r="E35" s="9" t="s">
        <v>73</v>
      </c>
    </row>
    <row r="36" customFormat="false" ht="15" hidden="false" customHeight="true" outlineLevel="0" collapsed="false">
      <c r="A36" s="8" t="n">
        <v>23</v>
      </c>
      <c r="B36" s="8" t="s">
        <v>89</v>
      </c>
      <c r="C36" s="8" t="s">
        <v>90</v>
      </c>
      <c r="D36" s="8" t="s">
        <v>91</v>
      </c>
      <c r="E36" s="8" t="s">
        <v>92</v>
      </c>
    </row>
    <row r="37" customFormat="false" ht="15" hidden="false" customHeight="true" outlineLevel="0" collapsed="false">
      <c r="A37" s="9" t="n">
        <v>24</v>
      </c>
      <c r="B37" s="9" t="s">
        <v>93</v>
      </c>
      <c r="C37" s="9" t="s">
        <v>94</v>
      </c>
      <c r="D37" s="9" t="s">
        <v>95</v>
      </c>
      <c r="E37" s="9" t="s">
        <v>32</v>
      </c>
    </row>
  </sheetData>
  <mergeCells count="9">
    <mergeCell ref="A1:H1"/>
    <mergeCell ref="A2:H2"/>
    <mergeCell ref="A4:H4"/>
    <mergeCell ref="A5:H5"/>
    <mergeCell ref="A6:H6"/>
    <mergeCell ref="A7:H7"/>
    <mergeCell ref="A8:H8"/>
    <mergeCell ref="A9:H9"/>
    <mergeCell ref="A10:H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4C75"/>
    <pageSetUpPr fitToPage="false"/>
  </sheetPr>
  <dimension ref="A1:G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16"/>
    <col collapsed="false" customWidth="true" hidden="false" outlineLevel="0" max="3" min="3" style="1" width="26"/>
    <col collapsed="false" customWidth="true" hidden="false" outlineLevel="0" max="4" min="4" style="1" width="50"/>
    <col collapsed="false" customWidth="true" hidden="false" outlineLevel="0" max="5" min="5" style="1" width="14"/>
    <col collapsed="false" customWidth="true" hidden="false" outlineLevel="0" max="6" min="6" style="1" width="30"/>
  </cols>
  <sheetData>
    <row r="1" customFormat="false" ht="30" hidden="false" customHeight="true" outlineLevel="0" collapsed="false">
      <c r="A1" s="10" t="s">
        <v>96</v>
      </c>
      <c r="B1" s="10"/>
      <c r="C1" s="10"/>
      <c r="D1" s="10"/>
      <c r="E1" s="10"/>
      <c r="F1" s="10"/>
      <c r="G1" s="10"/>
    </row>
    <row r="2" customFormat="false" ht="15.75" hidden="false" customHeight="true" outlineLevel="0" collapsed="false">
      <c r="A2" s="3" t="s">
        <v>97</v>
      </c>
      <c r="B2" s="3"/>
      <c r="C2" s="3"/>
      <c r="D2" s="3"/>
      <c r="E2" s="3"/>
      <c r="F2" s="3"/>
      <c r="G2" s="3"/>
    </row>
    <row r="4" customFormat="false" ht="21.75" hidden="false" customHeight="true" outlineLevel="0" collapsed="false">
      <c r="A4" s="11" t="s">
        <v>98</v>
      </c>
      <c r="B4" s="11"/>
      <c r="C4" s="11"/>
      <c r="D4" s="11"/>
      <c r="E4" s="11"/>
      <c r="F4" s="11"/>
      <c r="G4" s="11"/>
    </row>
    <row r="5" customFormat="false" ht="21.75" hidden="false" customHeight="true" outlineLevel="0" collapsed="false">
      <c r="A5" s="11" t="s">
        <v>99</v>
      </c>
      <c r="B5" s="11"/>
      <c r="C5" s="11"/>
      <c r="D5" s="11"/>
      <c r="E5" s="11"/>
      <c r="F5" s="11"/>
      <c r="G5" s="11"/>
    </row>
    <row r="6" customFormat="false" ht="21.75" hidden="false" customHeight="true" outlineLevel="0" collapsed="false">
      <c r="A6" s="11" t="s">
        <v>100</v>
      </c>
      <c r="B6" s="11"/>
      <c r="C6" s="11"/>
      <c r="D6" s="11"/>
      <c r="E6" s="11"/>
      <c r="F6" s="11"/>
      <c r="G6" s="11"/>
    </row>
    <row r="8" customFormat="false" ht="21.75" hidden="false" customHeight="true" outlineLevel="0" collapsed="false">
      <c r="A8" s="4" t="s">
        <v>101</v>
      </c>
      <c r="B8" s="4"/>
      <c r="C8" s="4"/>
      <c r="D8" s="4"/>
      <c r="E8" s="4"/>
      <c r="F8" s="4"/>
      <c r="G8" s="4"/>
    </row>
    <row r="9" customFormat="false" ht="27.75" hidden="false" customHeight="true" outlineLevel="0" collapsed="false">
      <c r="A9" s="7" t="s">
        <v>102</v>
      </c>
      <c r="B9" s="7" t="s">
        <v>103</v>
      </c>
      <c r="C9" s="7" t="s">
        <v>104</v>
      </c>
      <c r="D9" s="7" t="s">
        <v>105</v>
      </c>
      <c r="E9" s="7" t="s">
        <v>106</v>
      </c>
    </row>
    <row r="10" customFormat="false" ht="51.75" hidden="false" customHeight="true" outlineLevel="0" collapsed="false">
      <c r="A10" s="8" t="s">
        <v>107</v>
      </c>
      <c r="B10" s="8" t="s">
        <v>108</v>
      </c>
      <c r="C10" s="8" t="s">
        <v>109</v>
      </c>
      <c r="D10" s="8" t="s">
        <v>110</v>
      </c>
      <c r="E10" s="8" t="s">
        <v>111</v>
      </c>
    </row>
    <row r="11" customFormat="false" ht="51.75" hidden="false" customHeight="true" outlineLevel="0" collapsed="false">
      <c r="A11" s="9" t="s">
        <v>112</v>
      </c>
      <c r="B11" s="9" t="s">
        <v>113</v>
      </c>
      <c r="C11" s="9" t="s">
        <v>114</v>
      </c>
      <c r="D11" s="9" t="s">
        <v>115</v>
      </c>
      <c r="E11" s="9" t="s">
        <v>116</v>
      </c>
    </row>
    <row r="12" customFormat="false" ht="51.75" hidden="false" customHeight="true" outlineLevel="0" collapsed="false">
      <c r="A12" s="8" t="s">
        <v>117</v>
      </c>
      <c r="B12" s="8" t="s">
        <v>118</v>
      </c>
      <c r="C12" s="8" t="n">
        <f aca="false">3*2</f>
        <v>6</v>
      </c>
      <c r="D12" s="8" t="s">
        <v>119</v>
      </c>
      <c r="E12" s="8" t="s">
        <v>33</v>
      </c>
    </row>
    <row r="13" customFormat="false" ht="51.75" hidden="false" customHeight="true" outlineLevel="0" collapsed="false">
      <c r="A13" s="9" t="s">
        <v>120</v>
      </c>
      <c r="B13" s="9" t="s">
        <v>121</v>
      </c>
      <c r="C13" s="9" t="s">
        <v>122</v>
      </c>
      <c r="D13" s="9" t="s">
        <v>123</v>
      </c>
      <c r="E13" s="9" t="s">
        <v>124</v>
      </c>
    </row>
    <row r="14" customFormat="false" ht="51.75" hidden="false" customHeight="true" outlineLevel="0" collapsed="false">
      <c r="A14" s="8" t="s">
        <v>125</v>
      </c>
      <c r="B14" s="8" t="s">
        <v>126</v>
      </c>
      <c r="C14" s="8" t="s">
        <v>127</v>
      </c>
      <c r="D14" s="8" t="s">
        <v>128</v>
      </c>
      <c r="E14" s="8" t="s">
        <v>129</v>
      </c>
    </row>
    <row r="15" customFormat="false" ht="51.75" hidden="false" customHeight="true" outlineLevel="0" collapsed="false">
      <c r="A15" s="9" t="s">
        <v>130</v>
      </c>
      <c r="B15" s="9" t="s">
        <v>131</v>
      </c>
      <c r="C15" s="9" t="s">
        <v>132</v>
      </c>
      <c r="D15" s="9" t="s">
        <v>133</v>
      </c>
      <c r="E15" s="9" t="s">
        <v>134</v>
      </c>
    </row>
    <row r="17" customFormat="false" ht="21.75" hidden="false" customHeight="true" outlineLevel="0" collapsed="false">
      <c r="A17" s="4" t="s">
        <v>135</v>
      </c>
      <c r="B17" s="4"/>
      <c r="C17" s="4"/>
      <c r="D17" s="4"/>
      <c r="E17" s="4"/>
      <c r="F17" s="4"/>
      <c r="G17" s="4"/>
    </row>
    <row r="18" customFormat="false" ht="27.75" hidden="false" customHeight="true" outlineLevel="0" collapsed="false">
      <c r="A18" s="7" t="s">
        <v>136</v>
      </c>
      <c r="B18" s="7" t="s">
        <v>137</v>
      </c>
      <c r="C18" s="7" t="s">
        <v>138</v>
      </c>
      <c r="D18" s="7" t="s">
        <v>139</v>
      </c>
      <c r="E18" s="7" t="s">
        <v>140</v>
      </c>
      <c r="F18" s="7" t="s">
        <v>106</v>
      </c>
    </row>
    <row r="19" customFormat="false" ht="36" hidden="false" customHeight="true" outlineLevel="0" collapsed="false">
      <c r="A19" s="9" t="s">
        <v>141</v>
      </c>
      <c r="B19" s="9" t="n">
        <v>10</v>
      </c>
      <c r="C19" s="9" t="s">
        <v>37</v>
      </c>
      <c r="D19" s="9" t="s">
        <v>142</v>
      </c>
      <c r="E19" s="9" t="s">
        <v>143</v>
      </c>
      <c r="F19" s="9" t="s">
        <v>144</v>
      </c>
    </row>
    <row r="20" customFormat="false" ht="36" hidden="false" customHeight="true" outlineLevel="0" collapsed="false">
      <c r="A20" s="8" t="s">
        <v>145</v>
      </c>
      <c r="B20" s="8" t="n">
        <v>28</v>
      </c>
      <c r="C20" s="8" t="s">
        <v>41</v>
      </c>
      <c r="D20" s="8" t="s">
        <v>146</v>
      </c>
      <c r="E20" s="8" t="s">
        <v>143</v>
      </c>
      <c r="F20" s="8" t="s">
        <v>147</v>
      </c>
    </row>
    <row r="21" customFormat="false" ht="36" hidden="false" customHeight="true" outlineLevel="0" collapsed="false">
      <c r="A21" s="9" t="s">
        <v>148</v>
      </c>
      <c r="B21" s="9" t="n">
        <v>2</v>
      </c>
      <c r="C21" s="9" t="s">
        <v>44</v>
      </c>
      <c r="D21" s="9" t="s">
        <v>149</v>
      </c>
      <c r="E21" s="9" t="s">
        <v>143</v>
      </c>
      <c r="F21" s="9" t="s">
        <v>150</v>
      </c>
    </row>
    <row r="22" customFormat="false" ht="36" hidden="false" customHeight="true" outlineLevel="0" collapsed="false">
      <c r="A22" s="8" t="s">
        <v>151</v>
      </c>
      <c r="B22" s="8" t="n">
        <v>3</v>
      </c>
      <c r="C22" s="8" t="s">
        <v>54</v>
      </c>
      <c r="D22" s="8" t="s">
        <v>152</v>
      </c>
      <c r="E22" s="8" t="s">
        <v>153</v>
      </c>
      <c r="F22" s="8" t="s">
        <v>54</v>
      </c>
    </row>
    <row r="23" customFormat="false" ht="36" hidden="false" customHeight="true" outlineLevel="0" collapsed="false">
      <c r="A23" s="9" t="s">
        <v>154</v>
      </c>
      <c r="B23" s="9" t="n">
        <v>34</v>
      </c>
      <c r="C23" s="9" t="s">
        <v>58</v>
      </c>
      <c r="D23" s="9" t="s">
        <v>155</v>
      </c>
      <c r="E23" s="9" t="s">
        <v>156</v>
      </c>
      <c r="F23" s="9" t="s">
        <v>157</v>
      </c>
    </row>
    <row r="24" customFormat="false" ht="36" hidden="false" customHeight="true" outlineLevel="0" collapsed="false">
      <c r="A24" s="8" t="s">
        <v>158</v>
      </c>
      <c r="B24" s="8" t="n">
        <v>68</v>
      </c>
      <c r="C24" s="8" t="s">
        <v>58</v>
      </c>
      <c r="D24" s="8" t="s">
        <v>159</v>
      </c>
      <c r="E24" s="8" t="s">
        <v>156</v>
      </c>
      <c r="F24" s="8" t="s">
        <v>157</v>
      </c>
    </row>
    <row r="25" customFormat="false" ht="36" hidden="false" customHeight="true" outlineLevel="0" collapsed="false">
      <c r="A25" s="9" t="s">
        <v>160</v>
      </c>
      <c r="B25" s="9" t="n">
        <v>15</v>
      </c>
      <c r="C25" s="9" t="s">
        <v>58</v>
      </c>
      <c r="D25" s="9" t="s">
        <v>161</v>
      </c>
      <c r="E25" s="9" t="s">
        <v>156</v>
      </c>
      <c r="F25" s="9" t="s">
        <v>157</v>
      </c>
    </row>
    <row r="26" customFormat="false" ht="36" hidden="false" customHeight="true" outlineLevel="0" collapsed="false">
      <c r="A26" s="8" t="s">
        <v>162</v>
      </c>
      <c r="B26" s="8" t="n">
        <v>7</v>
      </c>
      <c r="C26" s="8" t="s">
        <v>54</v>
      </c>
      <c r="D26" s="8" t="s">
        <v>163</v>
      </c>
      <c r="E26" s="8" t="s">
        <v>164</v>
      </c>
      <c r="F26" s="8" t="s">
        <v>165</v>
      </c>
    </row>
    <row r="27" customFormat="false" ht="36" hidden="false" customHeight="true" outlineLevel="0" collapsed="false">
      <c r="A27" s="9" t="s">
        <v>166</v>
      </c>
      <c r="B27" s="9" t="n">
        <v>72</v>
      </c>
      <c r="C27" s="9" t="s">
        <v>58</v>
      </c>
      <c r="D27" s="9" t="s">
        <v>167</v>
      </c>
      <c r="E27" s="9" t="s">
        <v>168</v>
      </c>
      <c r="F27" s="9" t="s">
        <v>157</v>
      </c>
    </row>
    <row r="28" customFormat="false" ht="36" hidden="false" customHeight="true" outlineLevel="0" collapsed="false">
      <c r="A28" s="8" t="s">
        <v>169</v>
      </c>
      <c r="B28" s="8" t="s">
        <v>170</v>
      </c>
      <c r="C28" s="8" t="s">
        <v>66</v>
      </c>
      <c r="D28" s="8" t="s">
        <v>171</v>
      </c>
      <c r="E28" s="8" t="s">
        <v>172</v>
      </c>
      <c r="F28" s="8" t="s">
        <v>66</v>
      </c>
    </row>
    <row r="29" customFormat="false" ht="36" hidden="false" customHeight="true" outlineLevel="0" collapsed="false">
      <c r="A29" s="9" t="s">
        <v>173</v>
      </c>
      <c r="B29" s="9" t="s">
        <v>174</v>
      </c>
      <c r="C29" s="9" t="s">
        <v>66</v>
      </c>
      <c r="D29" s="9" t="s">
        <v>175</v>
      </c>
      <c r="E29" s="9" t="s">
        <v>172</v>
      </c>
      <c r="F29" s="9" t="s">
        <v>66</v>
      </c>
    </row>
    <row r="30" customFormat="false" ht="36" hidden="false" customHeight="true" outlineLevel="0" collapsed="false">
      <c r="A30" s="8" t="s">
        <v>176</v>
      </c>
      <c r="B30" s="8" t="s">
        <v>177</v>
      </c>
      <c r="C30" s="8" t="s">
        <v>66</v>
      </c>
      <c r="D30" s="8" t="s">
        <v>178</v>
      </c>
      <c r="E30" s="8" t="s">
        <v>172</v>
      </c>
      <c r="F30" s="8" t="s">
        <v>66</v>
      </c>
    </row>
    <row r="31" customFormat="false" ht="36" hidden="false" customHeight="true" outlineLevel="0" collapsed="false">
      <c r="A31" s="9" t="s">
        <v>179</v>
      </c>
      <c r="B31" s="9" t="s">
        <v>180</v>
      </c>
      <c r="C31" s="9" t="s">
        <v>58</v>
      </c>
      <c r="D31" s="9" t="s">
        <v>181</v>
      </c>
      <c r="E31" s="9" t="s">
        <v>182</v>
      </c>
      <c r="F31" s="9" t="s">
        <v>58</v>
      </c>
    </row>
    <row r="32" customFormat="false" ht="36" hidden="false" customHeight="true" outlineLevel="0" collapsed="false">
      <c r="A32" s="8" t="s">
        <v>183</v>
      </c>
      <c r="B32" s="8" t="s">
        <v>184</v>
      </c>
      <c r="C32" s="8" t="s">
        <v>58</v>
      </c>
      <c r="D32" s="8" t="s">
        <v>185</v>
      </c>
      <c r="E32" s="8" t="s">
        <v>182</v>
      </c>
      <c r="F32" s="8" t="s">
        <v>58</v>
      </c>
    </row>
    <row r="33" customFormat="false" ht="36" hidden="false" customHeight="true" outlineLevel="0" collapsed="false">
      <c r="A33" s="9" t="s">
        <v>186</v>
      </c>
      <c r="B33" s="9" t="s">
        <v>187</v>
      </c>
      <c r="C33" s="9" t="s">
        <v>58</v>
      </c>
      <c r="D33" s="9" t="s">
        <v>188</v>
      </c>
      <c r="E33" s="9" t="s">
        <v>182</v>
      </c>
      <c r="F33" s="9" t="s">
        <v>58</v>
      </c>
    </row>
    <row r="36" customFormat="false" ht="21.75" hidden="false" customHeight="true" outlineLevel="0" collapsed="false">
      <c r="A36" s="4" t="s">
        <v>189</v>
      </c>
      <c r="B36" s="4"/>
      <c r="C36" s="4"/>
      <c r="D36" s="4"/>
      <c r="E36" s="4"/>
      <c r="F36" s="4"/>
      <c r="G36" s="4"/>
    </row>
    <row r="37" customFormat="false" ht="18" hidden="false" customHeight="true" outlineLevel="0" collapsed="false">
      <c r="A37" s="12" t="s">
        <v>190</v>
      </c>
      <c r="B37" s="12"/>
      <c r="C37" s="12"/>
      <c r="D37" s="12"/>
      <c r="E37" s="12"/>
      <c r="F37" s="12"/>
    </row>
    <row r="38" customFormat="false" ht="18" hidden="false" customHeight="true" outlineLevel="0" collapsed="false">
      <c r="A38" s="12" t="s">
        <v>191</v>
      </c>
      <c r="B38" s="12"/>
      <c r="C38" s="12"/>
      <c r="D38" s="12"/>
      <c r="E38" s="12"/>
      <c r="F38" s="12"/>
    </row>
    <row r="39" customFormat="false" ht="18" hidden="false" customHeight="true" outlineLevel="0" collapsed="false">
      <c r="A39" s="12" t="s">
        <v>192</v>
      </c>
      <c r="B39" s="12"/>
      <c r="C39" s="12"/>
      <c r="D39" s="12"/>
      <c r="E39" s="12"/>
      <c r="F39" s="12"/>
    </row>
    <row r="40" customFormat="false" ht="18" hidden="false" customHeight="true" outlineLevel="0" collapsed="false">
      <c r="A40" s="12" t="s">
        <v>193</v>
      </c>
      <c r="B40" s="12"/>
      <c r="C40" s="12"/>
      <c r="D40" s="12"/>
      <c r="E40" s="12"/>
      <c r="F40" s="12"/>
    </row>
    <row r="41" customFormat="false" ht="18" hidden="false" customHeight="true" outlineLevel="0" collapsed="false">
      <c r="A41" s="12" t="s">
        <v>194</v>
      </c>
      <c r="B41" s="12"/>
      <c r="C41" s="12"/>
      <c r="D41" s="12"/>
      <c r="E41" s="12"/>
      <c r="F41" s="12"/>
    </row>
    <row r="42" customFormat="false" ht="18" hidden="false" customHeight="true" outlineLevel="0" collapsed="false">
      <c r="A42" s="12" t="s">
        <v>195</v>
      </c>
      <c r="B42" s="12"/>
      <c r="C42" s="12"/>
      <c r="D42" s="12"/>
      <c r="E42" s="12"/>
      <c r="F42" s="12"/>
    </row>
    <row r="43" customFormat="false" ht="18" hidden="false" customHeight="true" outlineLevel="0" collapsed="false">
      <c r="A43" s="12" t="s">
        <v>196</v>
      </c>
      <c r="B43" s="12"/>
      <c r="C43" s="12"/>
      <c r="D43" s="12"/>
      <c r="E43" s="12"/>
      <c r="F43" s="12"/>
    </row>
  </sheetData>
  <mergeCells count="15">
    <mergeCell ref="A1:G1"/>
    <mergeCell ref="A2:G2"/>
    <mergeCell ref="A4:G4"/>
    <mergeCell ref="A5:G5"/>
    <mergeCell ref="A6:G6"/>
    <mergeCell ref="A8:G8"/>
    <mergeCell ref="A17:G17"/>
    <mergeCell ref="A36:G36"/>
    <mergeCell ref="A37:F37"/>
    <mergeCell ref="A38:F38"/>
    <mergeCell ref="A39:F39"/>
    <mergeCell ref="A40:F40"/>
    <mergeCell ref="A41:F41"/>
    <mergeCell ref="A42:F42"/>
    <mergeCell ref="A43:F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400E"/>
    <pageSetUpPr fitToPage="false"/>
  </sheetPr>
  <dimension ref="A1:H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2"/>
    <col collapsed="false" customWidth="true" hidden="false" outlineLevel="0" max="3" min="3" style="1" width="16"/>
    <col collapsed="false" customWidth="true" hidden="false" outlineLevel="0" max="4" min="4" style="1" width="24"/>
    <col collapsed="false" customWidth="true" hidden="false" outlineLevel="0" max="6" min="5" style="1" width="10"/>
    <col collapsed="false" customWidth="true" hidden="false" outlineLevel="0" max="7" min="7" style="1" width="28"/>
    <col collapsed="false" customWidth="true" hidden="false" outlineLevel="0" max="8" min="8" style="1" width="44"/>
  </cols>
  <sheetData>
    <row r="1" customFormat="false" ht="30" hidden="false" customHeight="true" outlineLevel="0" collapsed="false">
      <c r="A1" s="10" t="s">
        <v>197</v>
      </c>
      <c r="B1" s="10"/>
      <c r="C1" s="10"/>
      <c r="D1" s="10"/>
      <c r="E1" s="10"/>
      <c r="F1" s="10"/>
      <c r="G1" s="10"/>
      <c r="H1" s="10"/>
    </row>
    <row r="2" customFormat="false" ht="15.75" hidden="false" customHeight="true" outlineLevel="0" collapsed="false">
      <c r="A2" s="3" t="s">
        <v>198</v>
      </c>
      <c r="B2" s="3"/>
      <c r="C2" s="3"/>
      <c r="D2" s="3"/>
      <c r="E2" s="3"/>
      <c r="F2" s="3"/>
      <c r="G2" s="3"/>
      <c r="H2" s="3"/>
    </row>
    <row r="4" customFormat="false" ht="21.75" hidden="false" customHeight="true" outlineLevel="0" collapsed="false">
      <c r="A4" s="11" t="s">
        <v>199</v>
      </c>
      <c r="B4" s="11"/>
      <c r="C4" s="11"/>
      <c r="D4" s="11"/>
      <c r="E4" s="11"/>
      <c r="F4" s="11"/>
      <c r="G4" s="11"/>
      <c r="H4" s="11"/>
    </row>
    <row r="5" customFormat="false" ht="21.75" hidden="false" customHeight="true" outlineLevel="0" collapsed="false">
      <c r="A5" s="11" t="s">
        <v>200</v>
      </c>
      <c r="B5" s="11"/>
      <c r="C5" s="11"/>
      <c r="D5" s="11"/>
      <c r="E5" s="11"/>
      <c r="F5" s="11"/>
      <c r="G5" s="11"/>
      <c r="H5" s="11"/>
    </row>
    <row r="6" customFormat="false" ht="21.75" hidden="false" customHeight="true" outlineLevel="0" collapsed="false">
      <c r="A6" s="11" t="s">
        <v>201</v>
      </c>
      <c r="B6" s="11"/>
      <c r="C6" s="11"/>
      <c r="D6" s="11"/>
      <c r="E6" s="11"/>
      <c r="F6" s="11"/>
      <c r="G6" s="11"/>
      <c r="H6" s="11"/>
    </row>
    <row r="7" customFormat="false" ht="21.75" hidden="false" customHeight="true" outlineLevel="0" collapsed="false">
      <c r="A7" s="11" t="s">
        <v>202</v>
      </c>
      <c r="B7" s="11"/>
      <c r="C7" s="11"/>
      <c r="D7" s="11"/>
      <c r="E7" s="11"/>
      <c r="F7" s="11"/>
      <c r="G7" s="11"/>
      <c r="H7" s="11"/>
    </row>
    <row r="9" customFormat="false" ht="19.5" hidden="false" customHeight="true" outlineLevel="0" collapsed="false">
      <c r="A9" s="13" t="s">
        <v>203</v>
      </c>
      <c r="B9" s="13"/>
      <c r="C9" s="13"/>
      <c r="D9" s="13"/>
      <c r="E9" s="13"/>
      <c r="F9" s="13"/>
      <c r="G9" s="13"/>
      <c r="H9" s="13"/>
    </row>
    <row r="10" customFormat="false" ht="21.75" hidden="false" customHeight="true" outlineLevel="0" collapsed="false">
      <c r="A10" s="4" t="s">
        <v>204</v>
      </c>
      <c r="B10" s="4"/>
      <c r="C10" s="4"/>
      <c r="D10" s="4"/>
      <c r="E10" s="4"/>
      <c r="F10" s="4"/>
      <c r="G10" s="4"/>
      <c r="H10" s="4"/>
    </row>
    <row r="11" customFormat="false" ht="27.75" hidden="false" customHeight="true" outlineLevel="0" collapsed="false">
      <c r="A11" s="14" t="s">
        <v>205</v>
      </c>
      <c r="B11" s="14" t="s">
        <v>206</v>
      </c>
      <c r="C11" s="14" t="s">
        <v>207</v>
      </c>
      <c r="D11" s="14" t="s">
        <v>208</v>
      </c>
      <c r="E11" s="14" t="s">
        <v>209</v>
      </c>
      <c r="F11" s="14" t="s">
        <v>210</v>
      </c>
      <c r="G11" s="14" t="s">
        <v>211</v>
      </c>
    </row>
    <row r="12" customFormat="false" ht="36" hidden="false" customHeight="true" outlineLevel="0" collapsed="false">
      <c r="A12" s="9" t="s">
        <v>212</v>
      </c>
      <c r="B12" s="9" t="s">
        <v>213</v>
      </c>
      <c r="C12" s="9" t="s">
        <v>214</v>
      </c>
      <c r="D12" s="15" t="s">
        <v>215</v>
      </c>
      <c r="E12" s="9" t="s">
        <v>216</v>
      </c>
      <c r="F12" s="9" t="s">
        <v>217</v>
      </c>
      <c r="G12" s="9" t="s">
        <v>218</v>
      </c>
    </row>
    <row r="13" customFormat="false" ht="36" hidden="false" customHeight="true" outlineLevel="0" collapsed="false">
      <c r="A13" s="9" t="s">
        <v>219</v>
      </c>
      <c r="B13" s="9" t="s">
        <v>220</v>
      </c>
      <c r="C13" s="9" t="s">
        <v>221</v>
      </c>
      <c r="D13" s="15" t="s">
        <v>215</v>
      </c>
      <c r="E13" s="9" t="s">
        <v>222</v>
      </c>
      <c r="F13" s="9" t="s">
        <v>223</v>
      </c>
      <c r="G13" s="9" t="s">
        <v>224</v>
      </c>
    </row>
    <row r="14" customFormat="false" ht="36" hidden="false" customHeight="true" outlineLevel="0" collapsed="false">
      <c r="A14" s="9" t="s">
        <v>225</v>
      </c>
      <c r="B14" s="9" t="s">
        <v>226</v>
      </c>
      <c r="C14" s="9" t="s">
        <v>227</v>
      </c>
      <c r="D14" s="15" t="s">
        <v>215</v>
      </c>
      <c r="E14" s="9" t="s">
        <v>228</v>
      </c>
      <c r="F14" s="9" t="s">
        <v>229</v>
      </c>
      <c r="G14" s="9" t="s">
        <v>230</v>
      </c>
    </row>
    <row r="15" customFormat="false" ht="36" hidden="false" customHeight="true" outlineLevel="0" collapsed="false">
      <c r="A15" s="9" t="s">
        <v>231</v>
      </c>
      <c r="B15" s="9" t="s">
        <v>232</v>
      </c>
      <c r="C15" s="9" t="s">
        <v>233</v>
      </c>
      <c r="D15" s="15" t="s">
        <v>215</v>
      </c>
      <c r="E15" s="9" t="s">
        <v>234</v>
      </c>
      <c r="F15" s="9" t="s">
        <v>235</v>
      </c>
      <c r="G15" s="9" t="s">
        <v>236</v>
      </c>
    </row>
    <row r="16" customFormat="false" ht="36" hidden="false" customHeight="true" outlineLevel="0" collapsed="false">
      <c r="A16" s="9" t="s">
        <v>237</v>
      </c>
      <c r="B16" s="9" t="s">
        <v>238</v>
      </c>
      <c r="C16" s="9" t="s">
        <v>239</v>
      </c>
      <c r="D16" s="15" t="s">
        <v>215</v>
      </c>
      <c r="E16" s="9" t="s">
        <v>240</v>
      </c>
      <c r="F16" s="9" t="s">
        <v>241</v>
      </c>
      <c r="G16" s="9" t="s">
        <v>242</v>
      </c>
    </row>
    <row r="17" customFormat="false" ht="36" hidden="false" customHeight="true" outlineLevel="0" collapsed="false">
      <c r="A17" s="9" t="s">
        <v>243</v>
      </c>
      <c r="B17" s="9" t="s">
        <v>244</v>
      </c>
      <c r="C17" s="9" t="s">
        <v>245</v>
      </c>
      <c r="D17" s="15" t="s">
        <v>215</v>
      </c>
      <c r="E17" s="9" t="s">
        <v>246</v>
      </c>
      <c r="F17" s="9" t="s">
        <v>247</v>
      </c>
      <c r="G17" s="9" t="s">
        <v>248</v>
      </c>
    </row>
    <row r="18" customFormat="false" ht="36" hidden="false" customHeight="true" outlineLevel="0" collapsed="false">
      <c r="A18" s="9" t="s">
        <v>249</v>
      </c>
      <c r="B18" s="9" t="s">
        <v>250</v>
      </c>
      <c r="C18" s="9" t="s">
        <v>251</v>
      </c>
      <c r="D18" s="15" t="s">
        <v>215</v>
      </c>
      <c r="E18" s="9" t="s">
        <v>252</v>
      </c>
      <c r="F18" s="9" t="s">
        <v>253</v>
      </c>
      <c r="G18" s="9" t="s">
        <v>254</v>
      </c>
    </row>
    <row r="19" customFormat="false" ht="36" hidden="false" customHeight="true" outlineLevel="0" collapsed="false">
      <c r="A19" s="9" t="s">
        <v>255</v>
      </c>
      <c r="B19" s="9" t="s">
        <v>256</v>
      </c>
      <c r="C19" s="9" t="s">
        <v>251</v>
      </c>
      <c r="D19" s="15" t="s">
        <v>215</v>
      </c>
      <c r="E19" s="9" t="s">
        <v>252</v>
      </c>
      <c r="F19" s="9" t="s">
        <v>257</v>
      </c>
      <c r="G19" s="9" t="s">
        <v>258</v>
      </c>
    </row>
    <row r="20" customFormat="false" ht="36" hidden="false" customHeight="true" outlineLevel="0" collapsed="false">
      <c r="A20" s="9" t="s">
        <v>259</v>
      </c>
      <c r="B20" s="9" t="s">
        <v>260</v>
      </c>
      <c r="C20" s="9" t="s">
        <v>261</v>
      </c>
      <c r="D20" s="15" t="s">
        <v>215</v>
      </c>
      <c r="E20" s="9" t="s">
        <v>262</v>
      </c>
      <c r="F20" s="9" t="s">
        <v>263</v>
      </c>
      <c r="G20" s="9" t="s">
        <v>264</v>
      </c>
    </row>
    <row r="21" customFormat="false" ht="36" hidden="false" customHeight="true" outlineLevel="0" collapsed="false">
      <c r="A21" s="9" t="s">
        <v>265</v>
      </c>
      <c r="B21" s="9" t="s">
        <v>266</v>
      </c>
      <c r="C21" s="9" t="s">
        <v>267</v>
      </c>
      <c r="D21" s="16" t="s">
        <v>268</v>
      </c>
      <c r="E21" s="9" t="s">
        <v>269</v>
      </c>
      <c r="F21" s="9" t="s">
        <v>270</v>
      </c>
      <c r="G21" s="9" t="s">
        <v>271</v>
      </c>
    </row>
    <row r="22" customFormat="false" ht="36" hidden="false" customHeight="true" outlineLevel="0" collapsed="false">
      <c r="A22" s="9" t="s">
        <v>272</v>
      </c>
      <c r="B22" s="9" t="s">
        <v>273</v>
      </c>
      <c r="C22" s="9" t="s">
        <v>274</v>
      </c>
      <c r="D22" s="16" t="s">
        <v>268</v>
      </c>
      <c r="E22" s="9" t="s">
        <v>275</v>
      </c>
      <c r="F22" s="9" t="s">
        <v>276</v>
      </c>
      <c r="G22" s="9" t="s">
        <v>277</v>
      </c>
    </row>
    <row r="23" customFormat="false" ht="36" hidden="false" customHeight="true" outlineLevel="0" collapsed="false">
      <c r="A23" s="9" t="s">
        <v>278</v>
      </c>
      <c r="B23" s="9" t="s">
        <v>279</v>
      </c>
      <c r="C23" s="9" t="s">
        <v>239</v>
      </c>
      <c r="D23" s="16" t="s">
        <v>268</v>
      </c>
      <c r="E23" s="9" t="s">
        <v>280</v>
      </c>
      <c r="F23" s="9" t="s">
        <v>281</v>
      </c>
      <c r="G23" s="9" t="s">
        <v>282</v>
      </c>
    </row>
    <row r="24" customFormat="false" ht="36" hidden="false" customHeight="true" outlineLevel="0" collapsed="false">
      <c r="A24" s="9" t="s">
        <v>283</v>
      </c>
      <c r="B24" s="9" t="s">
        <v>284</v>
      </c>
      <c r="C24" s="9" t="s">
        <v>285</v>
      </c>
      <c r="D24" s="16" t="s">
        <v>268</v>
      </c>
      <c r="E24" s="9" t="s">
        <v>286</v>
      </c>
      <c r="F24" s="9" t="s">
        <v>287</v>
      </c>
      <c r="G24" s="9" t="s">
        <v>288</v>
      </c>
    </row>
    <row r="25" customFormat="false" ht="36" hidden="false" customHeight="true" outlineLevel="0" collapsed="false">
      <c r="A25" s="9" t="s">
        <v>289</v>
      </c>
      <c r="B25" s="9" t="s">
        <v>290</v>
      </c>
      <c r="C25" s="9" t="s">
        <v>251</v>
      </c>
      <c r="D25" s="15" t="s">
        <v>215</v>
      </c>
      <c r="E25" s="9" t="s">
        <v>291</v>
      </c>
      <c r="F25" s="9" t="s">
        <v>229</v>
      </c>
      <c r="G25" s="9" t="s">
        <v>292</v>
      </c>
    </row>
    <row r="26" customFormat="false" ht="36" hidden="false" customHeight="true" outlineLevel="0" collapsed="false">
      <c r="A26" s="9" t="s">
        <v>293</v>
      </c>
      <c r="B26" s="9" t="s">
        <v>294</v>
      </c>
      <c r="C26" s="9" t="s">
        <v>251</v>
      </c>
      <c r="D26" s="16" t="s">
        <v>268</v>
      </c>
      <c r="E26" s="9" t="s">
        <v>295</v>
      </c>
      <c r="F26" s="9" t="s">
        <v>296</v>
      </c>
      <c r="G26" s="9" t="s">
        <v>297</v>
      </c>
    </row>
    <row r="27" customFormat="false" ht="36" hidden="false" customHeight="true" outlineLevel="0" collapsed="false">
      <c r="A27" s="9" t="s">
        <v>298</v>
      </c>
      <c r="B27" s="9" t="s">
        <v>299</v>
      </c>
      <c r="C27" s="9" t="s">
        <v>251</v>
      </c>
      <c r="D27" s="16" t="s">
        <v>268</v>
      </c>
      <c r="E27" s="9" t="s">
        <v>295</v>
      </c>
      <c r="F27" s="9" t="s">
        <v>300</v>
      </c>
      <c r="G27" s="9" t="s">
        <v>301</v>
      </c>
    </row>
    <row r="28" customFormat="false" ht="36" hidden="false" customHeight="true" outlineLevel="0" collapsed="false">
      <c r="A28" s="9" t="s">
        <v>302</v>
      </c>
      <c r="B28" s="9" t="s">
        <v>303</v>
      </c>
      <c r="C28" s="9" t="s">
        <v>304</v>
      </c>
      <c r="D28" s="16" t="s">
        <v>268</v>
      </c>
      <c r="E28" s="9" t="s">
        <v>305</v>
      </c>
      <c r="F28" s="9" t="s">
        <v>306</v>
      </c>
      <c r="G28" s="9" t="s">
        <v>307</v>
      </c>
    </row>
    <row r="29" customFormat="false" ht="36" hidden="false" customHeight="true" outlineLevel="0" collapsed="false">
      <c r="A29" s="9" t="s">
        <v>308</v>
      </c>
      <c r="B29" s="9" t="s">
        <v>309</v>
      </c>
      <c r="C29" s="9" t="s">
        <v>304</v>
      </c>
      <c r="D29" s="16" t="s">
        <v>268</v>
      </c>
      <c r="E29" s="9" t="s">
        <v>305</v>
      </c>
      <c r="F29" s="9" t="s">
        <v>306</v>
      </c>
      <c r="G29" s="9" t="s">
        <v>310</v>
      </c>
    </row>
    <row r="30" customFormat="false" ht="36" hidden="false" customHeight="true" outlineLevel="0" collapsed="false">
      <c r="A30" s="9" t="s">
        <v>311</v>
      </c>
      <c r="B30" s="9" t="s">
        <v>312</v>
      </c>
      <c r="C30" s="9" t="s">
        <v>304</v>
      </c>
      <c r="D30" s="16" t="s">
        <v>268</v>
      </c>
      <c r="E30" s="9" t="s">
        <v>305</v>
      </c>
      <c r="F30" s="9" t="s">
        <v>306</v>
      </c>
      <c r="G30" s="9" t="s">
        <v>310</v>
      </c>
    </row>
    <row r="32" customFormat="false" ht="15" hidden="false" customHeight="true" outlineLevel="0" collapsed="false">
      <c r="A32" s="17" t="s">
        <v>313</v>
      </c>
    </row>
    <row r="33" customFormat="false" ht="15" hidden="false" customHeight="true" outlineLevel="0" collapsed="false">
      <c r="A33" s="18" t="s">
        <v>314</v>
      </c>
      <c r="B33" s="1" t="n">
        <f aca="false">COUNTA(A12:A30)</f>
        <v>19</v>
      </c>
    </row>
    <row r="34" customFormat="false" ht="15" hidden="false" customHeight="true" outlineLevel="0" collapsed="false">
      <c r="A34" s="18" t="s">
        <v>315</v>
      </c>
      <c r="B34" s="1" t="n">
        <f aca="false">COUNTIF(D12:D30,"YES")</f>
        <v>10</v>
      </c>
      <c r="C34" s="1" t="s">
        <v>316</v>
      </c>
    </row>
    <row r="35" customFormat="false" ht="15" hidden="false" customHeight="true" outlineLevel="0" collapsed="false">
      <c r="A35" s="18" t="s">
        <v>317</v>
      </c>
      <c r="B35" s="1" t="n">
        <f aca="false">COUNTIF(D12:D30,"NO")</f>
        <v>9</v>
      </c>
      <c r="C35" s="1" t="s">
        <v>318</v>
      </c>
    </row>
    <row r="37" customFormat="false" ht="21.75" hidden="false" customHeight="true" outlineLevel="0" collapsed="false">
      <c r="A37" s="4" t="s">
        <v>319</v>
      </c>
      <c r="B37" s="4"/>
      <c r="C37" s="4"/>
      <c r="D37" s="4"/>
      <c r="E37" s="4"/>
      <c r="F37" s="4"/>
      <c r="G37" s="4"/>
      <c r="H37" s="4"/>
    </row>
    <row r="38" customFormat="false" ht="27.75" hidden="false" customHeight="true" outlineLevel="0" collapsed="false">
      <c r="A38" s="14" t="s">
        <v>320</v>
      </c>
      <c r="B38" s="14" t="s">
        <v>321</v>
      </c>
      <c r="C38" s="14" t="s">
        <v>322</v>
      </c>
      <c r="D38" s="14" t="s">
        <v>323</v>
      </c>
      <c r="E38" s="14" t="s">
        <v>324</v>
      </c>
      <c r="F38" s="14" t="s">
        <v>325</v>
      </c>
      <c r="G38" s="14" t="s">
        <v>326</v>
      </c>
      <c r="H38" s="14" t="s">
        <v>210</v>
      </c>
    </row>
    <row r="39" customFormat="false" ht="39.75" hidden="false" customHeight="true" outlineLevel="0" collapsed="false">
      <c r="A39" s="9" t="s">
        <v>327</v>
      </c>
      <c r="B39" s="9" t="s">
        <v>290</v>
      </c>
      <c r="C39" s="9" t="s">
        <v>328</v>
      </c>
      <c r="D39" s="9" t="s">
        <v>226</v>
      </c>
      <c r="E39" s="9" t="n">
        <v>1</v>
      </c>
      <c r="F39" s="9" t="s">
        <v>215</v>
      </c>
      <c r="G39" s="9" t="s">
        <v>329</v>
      </c>
      <c r="H39" s="9" t="s">
        <v>330</v>
      </c>
    </row>
    <row r="40" customFormat="false" ht="39.75" hidden="false" customHeight="true" outlineLevel="0" collapsed="false">
      <c r="A40" s="9" t="s">
        <v>331</v>
      </c>
      <c r="B40" s="9" t="s">
        <v>226</v>
      </c>
      <c r="C40" s="9" t="s">
        <v>332</v>
      </c>
      <c r="D40" s="9" t="s">
        <v>232</v>
      </c>
      <c r="E40" s="9" t="n">
        <v>1</v>
      </c>
      <c r="F40" s="9" t="s">
        <v>215</v>
      </c>
      <c r="G40" s="9" t="s">
        <v>329</v>
      </c>
      <c r="H40" s="9" t="s">
        <v>235</v>
      </c>
    </row>
    <row r="41" customFormat="false" ht="39.75" hidden="false" customHeight="true" outlineLevel="0" collapsed="false">
      <c r="A41" s="9" t="s">
        <v>333</v>
      </c>
      <c r="B41" s="9" t="s">
        <v>232</v>
      </c>
      <c r="C41" s="9" t="s">
        <v>334</v>
      </c>
      <c r="D41" s="9" t="s">
        <v>238</v>
      </c>
      <c r="E41" s="9" t="n">
        <v>1</v>
      </c>
      <c r="F41" s="9" t="s">
        <v>215</v>
      </c>
      <c r="G41" s="9" t="s">
        <v>329</v>
      </c>
      <c r="H41" s="9" t="s">
        <v>335</v>
      </c>
    </row>
    <row r="42" customFormat="false" ht="39.75" hidden="false" customHeight="true" outlineLevel="0" collapsed="false">
      <c r="A42" s="9" t="s">
        <v>336</v>
      </c>
      <c r="B42" s="9" t="s">
        <v>250</v>
      </c>
      <c r="C42" s="9" t="s">
        <v>337</v>
      </c>
      <c r="D42" s="9" t="s">
        <v>244</v>
      </c>
      <c r="E42" s="9" t="n">
        <v>1</v>
      </c>
      <c r="F42" s="9" t="s">
        <v>215</v>
      </c>
      <c r="G42" s="9" t="s">
        <v>329</v>
      </c>
      <c r="H42" s="9" t="s">
        <v>247</v>
      </c>
    </row>
    <row r="43" customFormat="false" ht="39.75" hidden="false" customHeight="true" outlineLevel="0" collapsed="false">
      <c r="A43" s="9" t="s">
        <v>338</v>
      </c>
      <c r="B43" s="9" t="s">
        <v>339</v>
      </c>
      <c r="C43" s="9" t="s">
        <v>340</v>
      </c>
      <c r="D43" s="9" t="s">
        <v>260</v>
      </c>
      <c r="E43" s="9" t="n">
        <v>1</v>
      </c>
      <c r="F43" s="9" t="s">
        <v>215</v>
      </c>
      <c r="G43" s="9" t="s">
        <v>329</v>
      </c>
      <c r="H43" s="9" t="s">
        <v>341</v>
      </c>
    </row>
    <row r="44" customFormat="false" ht="39.75" hidden="false" customHeight="true" outlineLevel="0" collapsed="false">
      <c r="A44" s="9" t="s">
        <v>342</v>
      </c>
      <c r="B44" s="9" t="s">
        <v>256</v>
      </c>
      <c r="C44" s="9" t="s">
        <v>337</v>
      </c>
      <c r="D44" s="9" t="s">
        <v>260</v>
      </c>
      <c r="E44" s="9" t="n">
        <v>1</v>
      </c>
      <c r="F44" s="9" t="s">
        <v>215</v>
      </c>
      <c r="G44" s="9" t="s">
        <v>329</v>
      </c>
      <c r="H44" s="9" t="s">
        <v>343</v>
      </c>
    </row>
    <row r="45" customFormat="false" ht="39.75" hidden="false" customHeight="true" outlineLevel="0" collapsed="false">
      <c r="A45" s="9" t="s">
        <v>344</v>
      </c>
      <c r="B45" s="9" t="s">
        <v>220</v>
      </c>
      <c r="C45" s="9" t="s">
        <v>345</v>
      </c>
      <c r="D45" s="9" t="s">
        <v>346</v>
      </c>
      <c r="E45" s="9" t="n">
        <v>1</v>
      </c>
      <c r="F45" s="9" t="s">
        <v>215</v>
      </c>
      <c r="G45" s="9" t="s">
        <v>329</v>
      </c>
      <c r="H45" s="9" t="s">
        <v>347</v>
      </c>
    </row>
    <row r="46" customFormat="false" ht="39.75" hidden="false" customHeight="true" outlineLevel="0" collapsed="false">
      <c r="A46" s="19" t="s">
        <v>348</v>
      </c>
      <c r="B46" s="19" t="s">
        <v>339</v>
      </c>
      <c r="C46" s="19" t="s">
        <v>349</v>
      </c>
      <c r="D46" s="19" t="s">
        <v>350</v>
      </c>
      <c r="E46" s="19" t="n">
        <v>1</v>
      </c>
      <c r="F46" s="19" t="s">
        <v>351</v>
      </c>
      <c r="G46" s="19" t="s">
        <v>352</v>
      </c>
      <c r="H46" s="19" t="s">
        <v>353</v>
      </c>
    </row>
    <row r="47" customFormat="false" ht="39.75" hidden="false" customHeight="true" outlineLevel="0" collapsed="false">
      <c r="A47" s="20" t="s">
        <v>354</v>
      </c>
      <c r="B47" s="20" t="s">
        <v>355</v>
      </c>
      <c r="C47" s="20" t="s">
        <v>356</v>
      </c>
      <c r="D47" s="20" t="s">
        <v>357</v>
      </c>
      <c r="E47" s="20" t="n">
        <v>1</v>
      </c>
      <c r="F47" s="20" t="s">
        <v>268</v>
      </c>
      <c r="G47" s="20" t="s">
        <v>358</v>
      </c>
      <c r="H47" s="20" t="s">
        <v>359</v>
      </c>
    </row>
    <row r="48" customFormat="false" ht="39.75" hidden="false" customHeight="true" outlineLevel="0" collapsed="false">
      <c r="A48" s="20" t="s">
        <v>360</v>
      </c>
      <c r="B48" s="20" t="s">
        <v>361</v>
      </c>
      <c r="C48" s="20" t="s">
        <v>356</v>
      </c>
      <c r="D48" s="20" t="s">
        <v>362</v>
      </c>
      <c r="E48" s="20" t="n">
        <v>2</v>
      </c>
      <c r="F48" s="20" t="s">
        <v>268</v>
      </c>
      <c r="G48" s="20" t="s">
        <v>358</v>
      </c>
      <c r="H48" s="20" t="s">
        <v>363</v>
      </c>
    </row>
    <row r="50" customFormat="false" ht="15" hidden="false" customHeight="true" outlineLevel="0" collapsed="false">
      <c r="A50" s="18" t="s">
        <v>364</v>
      </c>
      <c r="B50" s="1" t="n">
        <f aca="false">COUNTIF(G39:G48,"INCLUDED")</f>
        <v>7</v>
      </c>
      <c r="C50" s="1" t="s">
        <v>365</v>
      </c>
    </row>
    <row r="51" customFormat="false" ht="15" hidden="false" customHeight="true" outlineLevel="0" collapsed="false">
      <c r="A51" s="18" t="s">
        <v>366</v>
      </c>
      <c r="B51" s="1" t="s">
        <v>367</v>
      </c>
      <c r="C51" s="1" t="s">
        <v>368</v>
      </c>
    </row>
  </sheetData>
  <mergeCells count="9">
    <mergeCell ref="A1:H1"/>
    <mergeCell ref="A2:H2"/>
    <mergeCell ref="A4:H4"/>
    <mergeCell ref="A5:H5"/>
    <mergeCell ref="A6:H6"/>
    <mergeCell ref="A7:H7"/>
    <mergeCell ref="A9:H9"/>
    <mergeCell ref="A10:H10"/>
    <mergeCell ref="A37:H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400E"/>
    <pageSetUpPr fitToPage="false"/>
  </sheetPr>
  <dimension ref="A1:H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2"/>
    <col collapsed="false" customWidth="true" hidden="false" outlineLevel="0" max="3" min="3" style="1" width="16"/>
    <col collapsed="false" customWidth="true" hidden="false" outlineLevel="0" max="4" min="4" style="1" width="24"/>
    <col collapsed="false" customWidth="true" hidden="false" outlineLevel="0" max="5" min="5" style="1" width="12"/>
    <col collapsed="false" customWidth="true" hidden="false" outlineLevel="0" max="7" min="6" style="1" width="14"/>
    <col collapsed="false" customWidth="true" hidden="false" outlineLevel="0" max="8" min="8" style="1" width="50"/>
  </cols>
  <sheetData>
    <row r="1" customFormat="false" ht="30" hidden="false" customHeight="true" outlineLevel="0" collapsed="false">
      <c r="A1" s="10" t="s">
        <v>369</v>
      </c>
      <c r="B1" s="10"/>
      <c r="C1" s="10"/>
      <c r="D1" s="10"/>
      <c r="E1" s="10"/>
      <c r="F1" s="10"/>
      <c r="G1" s="10"/>
      <c r="H1" s="10"/>
    </row>
    <row r="2" customFormat="false" ht="15.75" hidden="false" customHeight="true" outlineLevel="0" collapsed="false">
      <c r="A2" s="3" t="s">
        <v>198</v>
      </c>
      <c r="B2" s="3"/>
      <c r="C2" s="3"/>
      <c r="D2" s="3"/>
      <c r="E2" s="3"/>
      <c r="F2" s="3"/>
      <c r="G2" s="3"/>
      <c r="H2" s="3"/>
    </row>
    <row r="4" customFormat="false" ht="21.75" hidden="false" customHeight="true" outlineLevel="0" collapsed="false">
      <c r="A4" s="11" t="s">
        <v>370</v>
      </c>
      <c r="B4" s="11"/>
      <c r="C4" s="11"/>
      <c r="D4" s="11"/>
      <c r="E4" s="11"/>
      <c r="F4" s="11"/>
      <c r="G4" s="11"/>
      <c r="H4" s="11"/>
    </row>
    <row r="5" customFormat="false" ht="21.75" hidden="false" customHeight="true" outlineLevel="0" collapsed="false">
      <c r="A5" s="11" t="s">
        <v>371</v>
      </c>
      <c r="B5" s="11"/>
      <c r="C5" s="11"/>
      <c r="D5" s="11"/>
      <c r="E5" s="11"/>
      <c r="F5" s="11"/>
      <c r="G5" s="11"/>
      <c r="H5" s="11"/>
    </row>
    <row r="6" customFormat="false" ht="21.75" hidden="false" customHeight="true" outlineLevel="0" collapsed="false">
      <c r="A6" s="11" t="s">
        <v>372</v>
      </c>
      <c r="B6" s="11"/>
      <c r="C6" s="11"/>
      <c r="D6" s="11"/>
      <c r="E6" s="11"/>
      <c r="F6" s="11"/>
      <c r="G6" s="11"/>
      <c r="H6" s="11"/>
    </row>
    <row r="7" customFormat="false" ht="21.75" hidden="false" customHeight="true" outlineLevel="0" collapsed="false">
      <c r="A7" s="11" t="s">
        <v>373</v>
      </c>
      <c r="B7" s="11"/>
      <c r="C7" s="11"/>
      <c r="D7" s="11"/>
      <c r="E7" s="11"/>
      <c r="F7" s="11"/>
      <c r="G7" s="11"/>
      <c r="H7" s="11"/>
    </row>
    <row r="9" customFormat="false" ht="19.5" hidden="false" customHeight="true" outlineLevel="0" collapsed="false">
      <c r="A9" s="13" t="s">
        <v>203</v>
      </c>
      <c r="B9" s="13"/>
      <c r="C9" s="13"/>
      <c r="D9" s="13"/>
      <c r="E9" s="13"/>
      <c r="F9" s="13"/>
      <c r="G9" s="13"/>
      <c r="H9" s="13"/>
    </row>
    <row r="10" customFormat="false" ht="21.75" hidden="false" customHeight="true" outlineLevel="0" collapsed="false">
      <c r="A10" s="4" t="s">
        <v>374</v>
      </c>
      <c r="B10" s="4"/>
      <c r="C10" s="4"/>
      <c r="D10" s="4"/>
      <c r="E10" s="4"/>
      <c r="F10" s="4"/>
      <c r="G10" s="4"/>
      <c r="H10" s="4"/>
    </row>
    <row r="11" customFormat="false" ht="27.75" hidden="false" customHeight="true" outlineLevel="0" collapsed="false">
      <c r="A11" s="14" t="s">
        <v>205</v>
      </c>
      <c r="B11" s="14" t="s">
        <v>206</v>
      </c>
      <c r="C11" s="14" t="s">
        <v>207</v>
      </c>
      <c r="D11" s="14" t="s">
        <v>208</v>
      </c>
      <c r="E11" s="14" t="s">
        <v>375</v>
      </c>
      <c r="F11" s="14" t="s">
        <v>210</v>
      </c>
      <c r="G11" s="14" t="s">
        <v>211</v>
      </c>
    </row>
    <row r="12" customFormat="false" ht="36" hidden="false" customHeight="true" outlineLevel="0" collapsed="false">
      <c r="A12" s="9" t="s">
        <v>376</v>
      </c>
      <c r="B12" s="9" t="s">
        <v>377</v>
      </c>
      <c r="C12" s="9" t="s">
        <v>378</v>
      </c>
      <c r="D12" s="15" t="s">
        <v>215</v>
      </c>
      <c r="E12" s="9" t="s">
        <v>379</v>
      </c>
      <c r="F12" s="9" t="s">
        <v>380</v>
      </c>
      <c r="G12" s="9" t="s">
        <v>381</v>
      </c>
    </row>
    <row r="13" customFormat="false" ht="36" hidden="false" customHeight="true" outlineLevel="0" collapsed="false">
      <c r="A13" s="9" t="s">
        <v>382</v>
      </c>
      <c r="B13" s="9" t="s">
        <v>383</v>
      </c>
      <c r="C13" s="9" t="s">
        <v>239</v>
      </c>
      <c r="D13" s="15" t="s">
        <v>215</v>
      </c>
      <c r="E13" s="9" t="s">
        <v>384</v>
      </c>
      <c r="F13" s="9" t="s">
        <v>385</v>
      </c>
      <c r="G13" s="9" t="s">
        <v>386</v>
      </c>
    </row>
    <row r="14" customFormat="false" ht="36" hidden="false" customHeight="true" outlineLevel="0" collapsed="false">
      <c r="A14" s="9" t="s">
        <v>387</v>
      </c>
      <c r="B14" s="9" t="s">
        <v>388</v>
      </c>
      <c r="C14" s="9" t="s">
        <v>239</v>
      </c>
      <c r="D14" s="15" t="s">
        <v>215</v>
      </c>
      <c r="E14" s="9" t="s">
        <v>389</v>
      </c>
      <c r="F14" s="9" t="s">
        <v>390</v>
      </c>
      <c r="G14" s="9" t="s">
        <v>391</v>
      </c>
    </row>
    <row r="15" customFormat="false" ht="36" hidden="false" customHeight="true" outlineLevel="0" collapsed="false">
      <c r="A15" s="9" t="s">
        <v>392</v>
      </c>
      <c r="B15" s="9" t="s">
        <v>393</v>
      </c>
      <c r="C15" s="9" t="s">
        <v>394</v>
      </c>
      <c r="D15" s="15" t="s">
        <v>215</v>
      </c>
      <c r="E15" s="9" t="s">
        <v>395</v>
      </c>
      <c r="F15" s="9" t="s">
        <v>396</v>
      </c>
      <c r="G15" s="9" t="s">
        <v>397</v>
      </c>
    </row>
    <row r="16" customFormat="false" ht="36" hidden="false" customHeight="true" outlineLevel="0" collapsed="false">
      <c r="A16" s="9" t="s">
        <v>398</v>
      </c>
      <c r="B16" s="9" t="s">
        <v>399</v>
      </c>
      <c r="C16" s="9" t="s">
        <v>400</v>
      </c>
      <c r="D16" s="15" t="s">
        <v>215</v>
      </c>
      <c r="E16" s="9" t="s">
        <v>401</v>
      </c>
      <c r="F16" s="9" t="s">
        <v>402</v>
      </c>
      <c r="G16" s="9" t="s">
        <v>403</v>
      </c>
    </row>
    <row r="17" customFormat="false" ht="36" hidden="false" customHeight="true" outlineLevel="0" collapsed="false">
      <c r="A17" s="9" t="s">
        <v>404</v>
      </c>
      <c r="B17" s="9" t="s">
        <v>405</v>
      </c>
      <c r="C17" s="9" t="s">
        <v>245</v>
      </c>
      <c r="D17" s="15" t="s">
        <v>215</v>
      </c>
      <c r="E17" s="9" t="s">
        <v>406</v>
      </c>
      <c r="F17" s="9" t="s">
        <v>407</v>
      </c>
      <c r="G17" s="9" t="s">
        <v>408</v>
      </c>
    </row>
    <row r="18" customFormat="false" ht="36" hidden="false" customHeight="true" outlineLevel="0" collapsed="false">
      <c r="A18" s="9" t="s">
        <v>409</v>
      </c>
      <c r="B18" s="9" t="s">
        <v>410</v>
      </c>
      <c r="C18" s="9" t="s">
        <v>239</v>
      </c>
      <c r="D18" s="15" t="s">
        <v>215</v>
      </c>
      <c r="E18" s="9" t="s">
        <v>411</v>
      </c>
      <c r="F18" s="9" t="s">
        <v>412</v>
      </c>
      <c r="G18" s="9" t="s">
        <v>413</v>
      </c>
    </row>
    <row r="19" customFormat="false" ht="36" hidden="false" customHeight="true" outlineLevel="0" collapsed="false">
      <c r="A19" s="9" t="s">
        <v>414</v>
      </c>
      <c r="B19" s="9" t="s">
        <v>415</v>
      </c>
      <c r="C19" s="9" t="s">
        <v>416</v>
      </c>
      <c r="D19" s="15" t="s">
        <v>215</v>
      </c>
      <c r="E19" s="9" t="s">
        <v>417</v>
      </c>
      <c r="F19" s="9" t="s">
        <v>418</v>
      </c>
      <c r="G19" s="9" t="s">
        <v>419</v>
      </c>
    </row>
    <row r="20" customFormat="false" ht="36" hidden="false" customHeight="true" outlineLevel="0" collapsed="false">
      <c r="A20" s="9" t="s">
        <v>420</v>
      </c>
      <c r="B20" s="9" t="s">
        <v>421</v>
      </c>
      <c r="C20" s="9" t="s">
        <v>400</v>
      </c>
      <c r="D20" s="15" t="s">
        <v>215</v>
      </c>
      <c r="E20" s="9" t="s">
        <v>422</v>
      </c>
      <c r="F20" s="9" t="s">
        <v>423</v>
      </c>
      <c r="G20" s="9" t="s">
        <v>424</v>
      </c>
    </row>
    <row r="21" customFormat="false" ht="36" hidden="false" customHeight="true" outlineLevel="0" collapsed="false">
      <c r="A21" s="9" t="s">
        <v>425</v>
      </c>
      <c r="B21" s="9" t="s">
        <v>426</v>
      </c>
      <c r="C21" s="9" t="s">
        <v>400</v>
      </c>
      <c r="D21" s="15" t="s">
        <v>215</v>
      </c>
      <c r="E21" s="9" t="s">
        <v>427</v>
      </c>
      <c r="F21" s="9" t="s">
        <v>428</v>
      </c>
      <c r="G21" s="9" t="s">
        <v>429</v>
      </c>
    </row>
    <row r="22" customFormat="false" ht="36" hidden="false" customHeight="true" outlineLevel="0" collapsed="false">
      <c r="A22" s="9" t="s">
        <v>430</v>
      </c>
      <c r="B22" s="9" t="s">
        <v>431</v>
      </c>
      <c r="C22" s="9" t="s">
        <v>239</v>
      </c>
      <c r="D22" s="15" t="s">
        <v>215</v>
      </c>
      <c r="E22" s="9" t="s">
        <v>432</v>
      </c>
      <c r="F22" s="9" t="s">
        <v>433</v>
      </c>
      <c r="G22" s="9" t="s">
        <v>434</v>
      </c>
    </row>
    <row r="23" customFormat="false" ht="36" hidden="false" customHeight="true" outlineLevel="0" collapsed="false">
      <c r="A23" s="9" t="s">
        <v>435</v>
      </c>
      <c r="B23" s="9" t="s">
        <v>436</v>
      </c>
      <c r="C23" s="9" t="s">
        <v>416</v>
      </c>
      <c r="D23" s="15" t="s">
        <v>215</v>
      </c>
      <c r="E23" s="9" t="s">
        <v>437</v>
      </c>
      <c r="F23" s="9" t="s">
        <v>438</v>
      </c>
      <c r="G23" s="9" t="s">
        <v>439</v>
      </c>
    </row>
    <row r="24" customFormat="false" ht="36" hidden="false" customHeight="true" outlineLevel="0" collapsed="false">
      <c r="A24" s="9" t="s">
        <v>440</v>
      </c>
      <c r="B24" s="9" t="s">
        <v>441</v>
      </c>
      <c r="C24" s="9" t="s">
        <v>442</v>
      </c>
      <c r="D24" s="15" t="s">
        <v>215</v>
      </c>
      <c r="E24" s="9" t="s">
        <v>443</v>
      </c>
      <c r="F24" s="9" t="s">
        <v>444</v>
      </c>
      <c r="G24" s="9" t="s">
        <v>445</v>
      </c>
    </row>
    <row r="25" customFormat="false" ht="36" hidden="false" customHeight="true" outlineLevel="0" collapsed="false">
      <c r="A25" s="9" t="s">
        <v>446</v>
      </c>
      <c r="B25" s="9" t="s">
        <v>447</v>
      </c>
      <c r="C25" s="9" t="s">
        <v>448</v>
      </c>
      <c r="D25" s="15" t="s">
        <v>215</v>
      </c>
      <c r="E25" s="9" t="s">
        <v>449</v>
      </c>
      <c r="F25" s="9" t="s">
        <v>450</v>
      </c>
      <c r="G25" s="9" t="s">
        <v>451</v>
      </c>
    </row>
    <row r="26" customFormat="false" ht="36" hidden="false" customHeight="true" outlineLevel="0" collapsed="false">
      <c r="A26" s="9" t="s">
        <v>452</v>
      </c>
      <c r="B26" s="9" t="s">
        <v>453</v>
      </c>
      <c r="C26" s="9" t="s">
        <v>454</v>
      </c>
      <c r="D26" s="15" t="s">
        <v>215</v>
      </c>
      <c r="E26" s="9" t="s">
        <v>455</v>
      </c>
      <c r="F26" s="9" t="s">
        <v>456</v>
      </c>
      <c r="G26" s="9" t="s">
        <v>457</v>
      </c>
    </row>
    <row r="27" customFormat="false" ht="36" hidden="false" customHeight="true" outlineLevel="0" collapsed="false">
      <c r="A27" s="9" t="s">
        <v>458</v>
      </c>
      <c r="B27" s="9" t="s">
        <v>459</v>
      </c>
      <c r="C27" s="9" t="s">
        <v>454</v>
      </c>
      <c r="D27" s="15" t="s">
        <v>215</v>
      </c>
      <c r="E27" s="9" t="s">
        <v>460</v>
      </c>
      <c r="F27" s="9" t="s">
        <v>461</v>
      </c>
      <c r="G27" s="9" t="s">
        <v>462</v>
      </c>
    </row>
    <row r="28" customFormat="false" ht="36" hidden="false" customHeight="true" outlineLevel="0" collapsed="false">
      <c r="A28" s="9" t="s">
        <v>463</v>
      </c>
      <c r="B28" s="9" t="s">
        <v>464</v>
      </c>
      <c r="C28" s="9" t="s">
        <v>465</v>
      </c>
      <c r="D28" s="15" t="s">
        <v>215</v>
      </c>
      <c r="E28" s="9" t="s">
        <v>466</v>
      </c>
      <c r="F28" s="9" t="s">
        <v>467</v>
      </c>
      <c r="G28" s="9" t="s">
        <v>468</v>
      </c>
    </row>
    <row r="29" customFormat="false" ht="36" hidden="false" customHeight="true" outlineLevel="0" collapsed="false">
      <c r="A29" s="9" t="s">
        <v>469</v>
      </c>
      <c r="B29" s="9" t="s">
        <v>470</v>
      </c>
      <c r="C29" s="9" t="s">
        <v>304</v>
      </c>
      <c r="D29" s="16" t="s">
        <v>268</v>
      </c>
      <c r="E29" s="9" t="s">
        <v>305</v>
      </c>
      <c r="F29" s="9" t="s">
        <v>471</v>
      </c>
      <c r="G29" s="9" t="s">
        <v>472</v>
      </c>
    </row>
    <row r="30" customFormat="false" ht="36" hidden="false" customHeight="true" outlineLevel="0" collapsed="false">
      <c r="A30" s="9" t="s">
        <v>473</v>
      </c>
      <c r="B30" s="9" t="s">
        <v>474</v>
      </c>
      <c r="C30" s="9" t="s">
        <v>304</v>
      </c>
      <c r="D30" s="16" t="s">
        <v>268</v>
      </c>
      <c r="E30" s="9" t="s">
        <v>305</v>
      </c>
      <c r="F30" s="9" t="s">
        <v>471</v>
      </c>
      <c r="G30" s="9" t="s">
        <v>475</v>
      </c>
    </row>
    <row r="31" customFormat="false" ht="36" hidden="false" customHeight="true" outlineLevel="0" collapsed="false">
      <c r="A31" s="9" t="s">
        <v>476</v>
      </c>
      <c r="B31" s="9" t="s">
        <v>477</v>
      </c>
      <c r="C31" s="9" t="s">
        <v>304</v>
      </c>
      <c r="D31" s="16" t="s">
        <v>268</v>
      </c>
      <c r="E31" s="9" t="s">
        <v>305</v>
      </c>
      <c r="F31" s="9" t="s">
        <v>471</v>
      </c>
      <c r="G31" s="9" t="s">
        <v>478</v>
      </c>
    </row>
    <row r="33" customFormat="false" ht="15" hidden="false" customHeight="true" outlineLevel="0" collapsed="false">
      <c r="A33" s="17" t="s">
        <v>313</v>
      </c>
    </row>
    <row r="34" customFormat="false" ht="15" hidden="false" customHeight="true" outlineLevel="0" collapsed="false">
      <c r="A34" s="18" t="s">
        <v>314</v>
      </c>
      <c r="B34" s="1" t="n">
        <f aca="false">COUNTA(A12:A31)</f>
        <v>20</v>
      </c>
    </row>
    <row r="35" customFormat="false" ht="15" hidden="false" customHeight="true" outlineLevel="0" collapsed="false">
      <c r="A35" s="18" t="s">
        <v>315</v>
      </c>
      <c r="B35" s="1" t="n">
        <f aca="false">COUNTIF(D12:D31,"YES")</f>
        <v>17</v>
      </c>
    </row>
    <row r="36" customFormat="false" ht="15" hidden="false" customHeight="true" outlineLevel="0" collapsed="false">
      <c r="A36" s="18" t="s">
        <v>317</v>
      </c>
      <c r="B36" s="1" t="n">
        <f aca="false">COUNTIF(D12:D31,"NO")</f>
        <v>3</v>
      </c>
    </row>
    <row r="38" customFormat="false" ht="21.75" hidden="false" customHeight="true" outlineLevel="0" collapsed="false">
      <c r="A38" s="4" t="s">
        <v>479</v>
      </c>
      <c r="B38" s="4"/>
      <c r="C38" s="4"/>
      <c r="D38" s="4"/>
      <c r="E38" s="4"/>
      <c r="F38" s="4"/>
      <c r="G38" s="4"/>
      <c r="H38" s="4"/>
    </row>
    <row r="39" customFormat="false" ht="27.75" hidden="false" customHeight="true" outlineLevel="0" collapsed="false">
      <c r="A39" s="14" t="s">
        <v>320</v>
      </c>
      <c r="B39" s="14" t="s">
        <v>321</v>
      </c>
      <c r="C39" s="14" t="s">
        <v>322</v>
      </c>
      <c r="D39" s="14" t="s">
        <v>323</v>
      </c>
      <c r="E39" s="14" t="s">
        <v>480</v>
      </c>
      <c r="F39" s="14" t="s">
        <v>481</v>
      </c>
      <c r="G39" s="14" t="s">
        <v>325</v>
      </c>
      <c r="H39" s="14" t="s">
        <v>210</v>
      </c>
    </row>
    <row r="40" customFormat="false" ht="39.75" hidden="false" customHeight="true" outlineLevel="0" collapsed="false">
      <c r="A40" s="9" t="s">
        <v>482</v>
      </c>
      <c r="B40" s="9" t="s">
        <v>377</v>
      </c>
      <c r="C40" s="9" t="s">
        <v>483</v>
      </c>
      <c r="D40" s="9" t="s">
        <v>383</v>
      </c>
      <c r="E40" s="21" t="s">
        <v>484</v>
      </c>
      <c r="F40" s="9" t="n">
        <v>1</v>
      </c>
      <c r="G40" s="9" t="s">
        <v>485</v>
      </c>
      <c r="H40" s="9" t="s">
        <v>486</v>
      </c>
    </row>
    <row r="41" customFormat="false" ht="39.75" hidden="false" customHeight="true" outlineLevel="0" collapsed="false">
      <c r="A41" s="9" t="s">
        <v>487</v>
      </c>
      <c r="B41" s="9" t="s">
        <v>383</v>
      </c>
      <c r="C41" s="9" t="s">
        <v>488</v>
      </c>
      <c r="D41" s="9" t="s">
        <v>388</v>
      </c>
      <c r="E41" s="21" t="s">
        <v>484</v>
      </c>
      <c r="F41" s="9" t="n">
        <v>2</v>
      </c>
      <c r="G41" s="9" t="s">
        <v>485</v>
      </c>
      <c r="H41" s="9" t="s">
        <v>385</v>
      </c>
    </row>
    <row r="42" customFormat="false" ht="39.75" hidden="false" customHeight="true" outlineLevel="0" collapsed="false">
      <c r="A42" s="9" t="s">
        <v>489</v>
      </c>
      <c r="B42" s="9" t="s">
        <v>388</v>
      </c>
      <c r="C42" s="9" t="s">
        <v>490</v>
      </c>
      <c r="D42" s="9" t="s">
        <v>393</v>
      </c>
      <c r="E42" s="21" t="s">
        <v>484</v>
      </c>
      <c r="F42" s="9" t="n">
        <v>3</v>
      </c>
      <c r="G42" s="9" t="s">
        <v>485</v>
      </c>
      <c r="H42" s="9" t="s">
        <v>390</v>
      </c>
    </row>
    <row r="43" customFormat="false" ht="39.75" hidden="false" customHeight="true" outlineLevel="0" collapsed="false">
      <c r="A43" s="9" t="s">
        <v>491</v>
      </c>
      <c r="B43" s="9" t="s">
        <v>393</v>
      </c>
      <c r="C43" s="9" t="s">
        <v>492</v>
      </c>
      <c r="D43" s="9" t="s">
        <v>399</v>
      </c>
      <c r="E43" s="21" t="s">
        <v>484</v>
      </c>
      <c r="F43" s="9" t="n">
        <v>4</v>
      </c>
      <c r="G43" s="9" t="s">
        <v>485</v>
      </c>
      <c r="H43" s="9" t="s">
        <v>396</v>
      </c>
    </row>
    <row r="44" customFormat="false" ht="39.75" hidden="false" customHeight="true" outlineLevel="0" collapsed="false">
      <c r="A44" s="9" t="s">
        <v>493</v>
      </c>
      <c r="B44" s="9" t="s">
        <v>399</v>
      </c>
      <c r="C44" s="9" t="s">
        <v>494</v>
      </c>
      <c r="D44" s="9" t="s">
        <v>495</v>
      </c>
      <c r="E44" s="21" t="s">
        <v>484</v>
      </c>
      <c r="F44" s="9" t="n">
        <v>5</v>
      </c>
      <c r="G44" s="9" t="s">
        <v>485</v>
      </c>
      <c r="H44" s="9" t="s">
        <v>402</v>
      </c>
    </row>
    <row r="45" customFormat="false" ht="39.75" hidden="false" customHeight="true" outlineLevel="0" collapsed="false">
      <c r="A45" s="9" t="s">
        <v>496</v>
      </c>
      <c r="B45" s="9" t="s">
        <v>495</v>
      </c>
      <c r="C45" s="9" t="s">
        <v>497</v>
      </c>
      <c r="D45" s="9" t="s">
        <v>410</v>
      </c>
      <c r="E45" s="21" t="s">
        <v>484</v>
      </c>
      <c r="F45" s="9" t="n">
        <v>6</v>
      </c>
      <c r="G45" s="9" t="s">
        <v>485</v>
      </c>
      <c r="H45" s="9" t="s">
        <v>498</v>
      </c>
    </row>
    <row r="46" customFormat="false" ht="39.75" hidden="false" customHeight="true" outlineLevel="0" collapsed="false">
      <c r="A46" s="9" t="s">
        <v>499</v>
      </c>
      <c r="B46" s="9" t="s">
        <v>415</v>
      </c>
      <c r="C46" s="9" t="s">
        <v>349</v>
      </c>
      <c r="D46" s="9" t="s">
        <v>421</v>
      </c>
      <c r="E46" s="22" t="s">
        <v>500</v>
      </c>
      <c r="F46" s="9" t="n">
        <v>1</v>
      </c>
      <c r="G46" s="9" t="s">
        <v>485</v>
      </c>
      <c r="H46" s="9" t="s">
        <v>418</v>
      </c>
    </row>
    <row r="47" customFormat="false" ht="39.75" hidden="false" customHeight="true" outlineLevel="0" collapsed="false">
      <c r="A47" s="9" t="s">
        <v>501</v>
      </c>
      <c r="B47" s="9" t="s">
        <v>421</v>
      </c>
      <c r="C47" s="9" t="s">
        <v>349</v>
      </c>
      <c r="D47" s="9" t="s">
        <v>426</v>
      </c>
      <c r="E47" s="22" t="s">
        <v>500</v>
      </c>
      <c r="F47" s="9" t="n">
        <v>2</v>
      </c>
      <c r="G47" s="9" t="s">
        <v>485</v>
      </c>
      <c r="H47" s="9" t="s">
        <v>502</v>
      </c>
    </row>
    <row r="48" customFormat="false" ht="39.75" hidden="false" customHeight="true" outlineLevel="0" collapsed="false">
      <c r="A48" s="9" t="s">
        <v>503</v>
      </c>
      <c r="B48" s="9" t="s">
        <v>426</v>
      </c>
      <c r="C48" s="9" t="s">
        <v>356</v>
      </c>
      <c r="D48" s="9" t="s">
        <v>431</v>
      </c>
      <c r="E48" s="22" t="s">
        <v>500</v>
      </c>
      <c r="F48" s="9" t="n">
        <v>3</v>
      </c>
      <c r="G48" s="9" t="s">
        <v>485</v>
      </c>
      <c r="H48" s="9" t="s">
        <v>504</v>
      </c>
    </row>
    <row r="49" customFormat="false" ht="39.75" hidden="false" customHeight="true" outlineLevel="0" collapsed="false">
      <c r="A49" s="9" t="s">
        <v>505</v>
      </c>
      <c r="B49" s="9" t="s">
        <v>506</v>
      </c>
      <c r="C49" s="9" t="s">
        <v>507</v>
      </c>
      <c r="D49" s="9" t="s">
        <v>508</v>
      </c>
      <c r="E49" s="19" t="s">
        <v>454</v>
      </c>
      <c r="F49" s="9" t="n">
        <v>1</v>
      </c>
      <c r="G49" s="9" t="s">
        <v>485</v>
      </c>
      <c r="H49" s="9" t="s">
        <v>456</v>
      </c>
    </row>
    <row r="50" customFormat="false" ht="39.75" hidden="false" customHeight="true" outlineLevel="0" collapsed="false">
      <c r="A50" s="9" t="s">
        <v>509</v>
      </c>
      <c r="B50" s="9" t="s">
        <v>510</v>
      </c>
      <c r="C50" s="9" t="s">
        <v>507</v>
      </c>
      <c r="D50" s="9" t="s">
        <v>511</v>
      </c>
      <c r="E50" s="19" t="s">
        <v>454</v>
      </c>
      <c r="F50" s="9" t="n">
        <v>1</v>
      </c>
      <c r="G50" s="9" t="s">
        <v>485</v>
      </c>
      <c r="H50" s="9" t="s">
        <v>461</v>
      </c>
    </row>
    <row r="51" customFormat="false" ht="39.75" hidden="false" customHeight="true" outlineLevel="0" collapsed="false">
      <c r="A51" s="9" t="s">
        <v>512</v>
      </c>
      <c r="B51" s="9" t="s">
        <v>464</v>
      </c>
      <c r="C51" s="9" t="s">
        <v>513</v>
      </c>
      <c r="D51" s="9" t="s">
        <v>514</v>
      </c>
      <c r="E51" s="19" t="s">
        <v>454</v>
      </c>
      <c r="F51" s="9" t="n">
        <v>1</v>
      </c>
      <c r="G51" s="9" t="s">
        <v>485</v>
      </c>
      <c r="H51" s="9" t="s">
        <v>467</v>
      </c>
    </row>
    <row r="52" customFormat="false" ht="39.75" hidden="false" customHeight="true" outlineLevel="0" collapsed="false">
      <c r="A52" s="9" t="s">
        <v>515</v>
      </c>
      <c r="B52" s="9" t="s">
        <v>436</v>
      </c>
      <c r="C52" s="9" t="s">
        <v>516</v>
      </c>
      <c r="D52" s="9" t="s">
        <v>517</v>
      </c>
      <c r="E52" s="9" t="s">
        <v>518</v>
      </c>
      <c r="F52" s="9" t="n">
        <v>1</v>
      </c>
      <c r="G52" s="9" t="s">
        <v>485</v>
      </c>
      <c r="H52" s="9" t="s">
        <v>519</v>
      </c>
    </row>
    <row r="53" customFormat="false" ht="39.75" hidden="false" customHeight="true" outlineLevel="0" collapsed="false">
      <c r="A53" s="9" t="s">
        <v>520</v>
      </c>
      <c r="B53" s="9" t="s">
        <v>517</v>
      </c>
      <c r="C53" s="9" t="s">
        <v>349</v>
      </c>
      <c r="D53" s="9" t="s">
        <v>399</v>
      </c>
      <c r="E53" s="9" t="s">
        <v>518</v>
      </c>
      <c r="F53" s="9" t="n">
        <v>2</v>
      </c>
      <c r="G53" s="9" t="s">
        <v>485</v>
      </c>
      <c r="H53" s="9" t="s">
        <v>521</v>
      </c>
    </row>
    <row r="54" customFormat="false" ht="39.75" hidden="false" customHeight="true" outlineLevel="0" collapsed="false">
      <c r="A54" s="9" t="s">
        <v>522</v>
      </c>
      <c r="B54" s="9" t="s">
        <v>523</v>
      </c>
      <c r="C54" s="9" t="s">
        <v>524</v>
      </c>
      <c r="D54" s="9" t="s">
        <v>441</v>
      </c>
      <c r="E54" s="9" t="s">
        <v>525</v>
      </c>
      <c r="F54" s="9" t="n">
        <v>1</v>
      </c>
      <c r="G54" s="9" t="s">
        <v>485</v>
      </c>
      <c r="H54" s="9" t="s">
        <v>526</v>
      </c>
    </row>
    <row r="56" customFormat="false" ht="15" hidden="false" customHeight="true" outlineLevel="0" collapsed="false">
      <c r="A56" s="18" t="s">
        <v>527</v>
      </c>
      <c r="B56" s="1" t="n">
        <f aca="false">COUNTA(A40:A54)</f>
        <v>15</v>
      </c>
      <c r="C56" s="1" t="s">
        <v>528</v>
      </c>
    </row>
    <row r="57" customFormat="false" ht="15" hidden="false" customHeight="true" outlineLevel="0" collapsed="false">
      <c r="A57" s="18" t="s">
        <v>366</v>
      </c>
      <c r="B57" s="1" t="s">
        <v>529</v>
      </c>
      <c r="C57" s="1" t="s">
        <v>530</v>
      </c>
    </row>
  </sheetData>
  <mergeCells count="9">
    <mergeCell ref="A1:H1"/>
    <mergeCell ref="A2:H2"/>
    <mergeCell ref="A4:H4"/>
    <mergeCell ref="A5:H5"/>
    <mergeCell ref="A6:H6"/>
    <mergeCell ref="A7:H7"/>
    <mergeCell ref="A9:H9"/>
    <mergeCell ref="A10:H10"/>
    <mergeCell ref="A38:H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4C75"/>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2"/>
    <col collapsed="false" customWidth="true" hidden="false" outlineLevel="0" max="3" min="3" style="1" width="62"/>
    <col collapsed="false" customWidth="true" hidden="false" outlineLevel="0" max="4" min="4" style="1" width="36"/>
    <col collapsed="false" customWidth="true" hidden="false" outlineLevel="0" max="5" min="5" style="1" width="44"/>
  </cols>
  <sheetData>
    <row r="1" customFormat="false" ht="30" hidden="false" customHeight="true" outlineLevel="0" collapsed="false">
      <c r="A1" s="10" t="s">
        <v>531</v>
      </c>
      <c r="B1" s="10"/>
      <c r="C1" s="10"/>
      <c r="D1" s="10"/>
      <c r="E1" s="10"/>
      <c r="F1" s="10"/>
      <c r="G1" s="10"/>
    </row>
    <row r="2" customFormat="false" ht="15.75" hidden="false" customHeight="true" outlineLevel="0" collapsed="false">
      <c r="A2" s="3" t="s">
        <v>532</v>
      </c>
      <c r="B2" s="3"/>
      <c r="C2" s="3"/>
      <c r="D2" s="3"/>
      <c r="E2" s="3"/>
      <c r="F2" s="3"/>
      <c r="G2" s="3"/>
    </row>
    <row r="4" customFormat="false" ht="21.75" hidden="false" customHeight="true" outlineLevel="0" collapsed="false">
      <c r="A4" s="11" t="s">
        <v>533</v>
      </c>
      <c r="B4" s="11"/>
      <c r="C4" s="11"/>
      <c r="D4" s="11"/>
      <c r="E4" s="11"/>
      <c r="F4" s="11"/>
      <c r="G4" s="11"/>
    </row>
    <row r="5" customFormat="false" ht="21.75" hidden="false" customHeight="true" outlineLevel="0" collapsed="false">
      <c r="A5" s="11" t="s">
        <v>534</v>
      </c>
      <c r="B5" s="11"/>
      <c r="C5" s="11"/>
      <c r="D5" s="11"/>
      <c r="E5" s="11"/>
      <c r="F5" s="11"/>
      <c r="G5" s="11"/>
    </row>
    <row r="6" customFormat="false" ht="21.75" hidden="false" customHeight="true" outlineLevel="0" collapsed="false">
      <c r="A6" s="11" t="s">
        <v>535</v>
      </c>
      <c r="B6" s="11"/>
      <c r="C6" s="11"/>
      <c r="D6" s="11"/>
      <c r="E6" s="11"/>
      <c r="F6" s="11"/>
      <c r="G6" s="11"/>
    </row>
    <row r="8" customFormat="false" ht="27.75" hidden="false" customHeight="true" outlineLevel="0" collapsed="false">
      <c r="A8" s="7" t="s">
        <v>536</v>
      </c>
      <c r="B8" s="7" t="s">
        <v>537</v>
      </c>
      <c r="C8" s="7" t="s">
        <v>538</v>
      </c>
      <c r="D8" s="7" t="s">
        <v>12</v>
      </c>
      <c r="E8" s="7" t="s">
        <v>539</v>
      </c>
    </row>
    <row r="9" customFormat="false" ht="60" hidden="false" customHeight="true" outlineLevel="0" collapsed="false">
      <c r="A9" s="9" t="s">
        <v>540</v>
      </c>
      <c r="B9" s="9" t="s">
        <v>541</v>
      </c>
      <c r="C9" s="9" t="s">
        <v>542</v>
      </c>
      <c r="D9" s="9" t="s">
        <v>543</v>
      </c>
      <c r="E9" s="9" t="s">
        <v>544</v>
      </c>
    </row>
    <row r="10" customFormat="false" ht="60" hidden="false" customHeight="true" outlineLevel="0" collapsed="false">
      <c r="A10" s="8" t="s">
        <v>545</v>
      </c>
      <c r="B10" s="8" t="s">
        <v>546</v>
      </c>
      <c r="C10" s="8" t="s">
        <v>547</v>
      </c>
      <c r="D10" s="8" t="s">
        <v>548</v>
      </c>
      <c r="E10" s="8" t="s">
        <v>549</v>
      </c>
    </row>
    <row r="11" customFormat="false" ht="60" hidden="false" customHeight="true" outlineLevel="0" collapsed="false">
      <c r="A11" s="9" t="s">
        <v>545</v>
      </c>
      <c r="B11" s="9" t="s">
        <v>550</v>
      </c>
      <c r="C11" s="9" t="s">
        <v>551</v>
      </c>
      <c r="D11" s="9" t="s">
        <v>552</v>
      </c>
      <c r="E11" s="9" t="s">
        <v>553</v>
      </c>
    </row>
    <row r="12" customFormat="false" ht="60" hidden="false" customHeight="true" outlineLevel="0" collapsed="false">
      <c r="A12" s="8" t="s">
        <v>554</v>
      </c>
      <c r="B12" s="8" t="s">
        <v>555</v>
      </c>
      <c r="C12" s="8" t="s">
        <v>556</v>
      </c>
      <c r="D12" s="8" t="s">
        <v>557</v>
      </c>
      <c r="E12" s="8" t="s">
        <v>558</v>
      </c>
    </row>
    <row r="13" customFormat="false" ht="60" hidden="false" customHeight="true" outlineLevel="0" collapsed="false">
      <c r="A13" s="9" t="s">
        <v>559</v>
      </c>
      <c r="B13" s="9" t="s">
        <v>560</v>
      </c>
      <c r="C13" s="9" t="s">
        <v>561</v>
      </c>
      <c r="D13" s="9" t="s">
        <v>562</v>
      </c>
      <c r="E13" s="9" t="s">
        <v>563</v>
      </c>
    </row>
    <row r="14" customFormat="false" ht="60" hidden="false" customHeight="true" outlineLevel="0" collapsed="false">
      <c r="A14" s="8" t="s">
        <v>564</v>
      </c>
      <c r="B14" s="8" t="s">
        <v>565</v>
      </c>
      <c r="C14" s="8" t="s">
        <v>566</v>
      </c>
      <c r="D14" s="8" t="s">
        <v>567</v>
      </c>
      <c r="E14" s="8" t="s">
        <v>568</v>
      </c>
    </row>
    <row r="15" customFormat="false" ht="60" hidden="false" customHeight="true" outlineLevel="0" collapsed="false">
      <c r="A15" s="9" t="s">
        <v>569</v>
      </c>
      <c r="B15" s="9" t="s">
        <v>570</v>
      </c>
      <c r="C15" s="9" t="s">
        <v>571</v>
      </c>
      <c r="D15" s="9" t="s">
        <v>572</v>
      </c>
      <c r="E15" s="9" t="s">
        <v>573</v>
      </c>
    </row>
    <row r="16" customFormat="false" ht="60" hidden="false" customHeight="true" outlineLevel="0" collapsed="false">
      <c r="A16" s="8" t="s">
        <v>574</v>
      </c>
      <c r="B16" s="8" t="s">
        <v>575</v>
      </c>
      <c r="C16" s="8" t="s">
        <v>576</v>
      </c>
      <c r="D16" s="8" t="s">
        <v>577</v>
      </c>
      <c r="E16" s="8" t="s">
        <v>578</v>
      </c>
    </row>
    <row r="17" customFormat="false" ht="60" hidden="false" customHeight="true" outlineLevel="0" collapsed="false">
      <c r="A17" s="9" t="s">
        <v>579</v>
      </c>
      <c r="B17" s="9" t="s">
        <v>580</v>
      </c>
      <c r="C17" s="9" t="s">
        <v>581</v>
      </c>
      <c r="D17" s="9" t="s">
        <v>582</v>
      </c>
      <c r="E17" s="9" t="s">
        <v>583</v>
      </c>
    </row>
  </sheetData>
  <mergeCells count="5">
    <mergeCell ref="A1:G1"/>
    <mergeCell ref="A2:G2"/>
    <mergeCell ref="A4:G4"/>
    <mergeCell ref="A5:G5"/>
    <mergeCell ref="A6:G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4C75"/>
    <pageSetUpPr fitToPage="false"/>
  </sheetPr>
  <dimension ref="A1:J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3" min="2" style="1" width="12"/>
    <col collapsed="false" customWidth="true" hidden="false" outlineLevel="0" max="4" min="4" style="1" width="10"/>
    <col collapsed="false" customWidth="true" hidden="false" outlineLevel="0" max="5" min="5" style="1" width="12"/>
    <col collapsed="false" customWidth="true" hidden="false" outlineLevel="0" max="6" min="6" style="1" width="20"/>
    <col collapsed="false" customWidth="true" hidden="false" outlineLevel="0" max="7" min="7" style="1" width="28"/>
    <col collapsed="false" customWidth="true" hidden="false" outlineLevel="0" max="8" min="8" style="1" width="10"/>
    <col collapsed="false" customWidth="true" hidden="false" outlineLevel="0" max="9" min="9" style="1" width="22"/>
    <col collapsed="false" customWidth="true" hidden="false" outlineLevel="0" max="10" min="10" style="1" width="24"/>
  </cols>
  <sheetData>
    <row r="1" customFormat="false" ht="30" hidden="false" customHeight="true" outlineLevel="0" collapsed="false">
      <c r="A1" s="10" t="s">
        <v>584</v>
      </c>
      <c r="B1" s="10"/>
      <c r="C1" s="10"/>
      <c r="D1" s="10"/>
      <c r="E1" s="10"/>
      <c r="F1" s="10"/>
      <c r="G1" s="10"/>
      <c r="H1" s="10"/>
      <c r="I1" s="10"/>
      <c r="J1" s="10"/>
    </row>
    <row r="2" customFormat="false" ht="15.75" hidden="false" customHeight="true" outlineLevel="0" collapsed="false">
      <c r="A2" s="3" t="s">
        <v>585</v>
      </c>
      <c r="B2" s="3"/>
      <c r="C2" s="3"/>
      <c r="D2" s="3"/>
      <c r="E2" s="3"/>
      <c r="F2" s="3"/>
      <c r="G2" s="3"/>
      <c r="H2" s="3"/>
      <c r="I2" s="3"/>
      <c r="J2" s="3"/>
    </row>
    <row r="4" customFormat="false" ht="21.75" hidden="false" customHeight="true" outlineLevel="0" collapsed="false">
      <c r="A4" s="11" t="s">
        <v>586</v>
      </c>
      <c r="B4" s="11"/>
      <c r="C4" s="11"/>
      <c r="D4" s="11"/>
      <c r="E4" s="11"/>
      <c r="F4" s="11"/>
      <c r="G4" s="11"/>
      <c r="H4" s="11"/>
      <c r="I4" s="11"/>
      <c r="J4" s="11"/>
    </row>
    <row r="5" customFormat="false" ht="21.75" hidden="false" customHeight="true" outlineLevel="0" collapsed="false">
      <c r="A5" s="11" t="s">
        <v>587</v>
      </c>
      <c r="B5" s="11"/>
      <c r="C5" s="11"/>
      <c r="D5" s="11"/>
      <c r="E5" s="11"/>
      <c r="F5" s="11"/>
      <c r="G5" s="11"/>
      <c r="H5" s="11"/>
      <c r="I5" s="11"/>
      <c r="J5" s="11"/>
    </row>
    <row r="6" customFormat="false" ht="21.75" hidden="false" customHeight="true" outlineLevel="0" collapsed="false">
      <c r="A6" s="11" t="s">
        <v>588</v>
      </c>
      <c r="B6" s="11"/>
      <c r="C6" s="11"/>
      <c r="D6" s="11"/>
      <c r="E6" s="11"/>
      <c r="F6" s="11"/>
      <c r="G6" s="11"/>
      <c r="H6" s="11"/>
      <c r="I6" s="11"/>
      <c r="J6" s="11"/>
    </row>
    <row r="8" customFormat="false" ht="27.75" hidden="false" customHeight="true" outlineLevel="0" collapsed="false">
      <c r="A8" s="7" t="s">
        <v>589</v>
      </c>
      <c r="B8" s="7" t="s">
        <v>590</v>
      </c>
      <c r="C8" s="7" t="s">
        <v>591</v>
      </c>
      <c r="D8" s="7" t="s">
        <v>592</v>
      </c>
      <c r="E8" s="7" t="s">
        <v>593</v>
      </c>
      <c r="F8" s="7" t="s">
        <v>594</v>
      </c>
      <c r="G8" s="7" t="s">
        <v>595</v>
      </c>
      <c r="H8" s="7" t="s">
        <v>596</v>
      </c>
      <c r="I8" s="7" t="s">
        <v>597</v>
      </c>
      <c r="J8" s="7" t="s">
        <v>598</v>
      </c>
    </row>
    <row r="9" customFormat="false" ht="27.75" hidden="false" customHeight="true" outlineLevel="0" collapsed="false">
      <c r="A9" s="9" t="s">
        <v>599</v>
      </c>
      <c r="B9" s="9" t="s">
        <v>600</v>
      </c>
      <c r="C9" s="9" t="s">
        <v>601</v>
      </c>
      <c r="D9" s="9" t="s">
        <v>602</v>
      </c>
      <c r="E9" s="9" t="s">
        <v>603</v>
      </c>
      <c r="F9" s="9" t="s">
        <v>604</v>
      </c>
      <c r="G9" s="9" t="s">
        <v>605</v>
      </c>
      <c r="H9" s="9" t="s">
        <v>606</v>
      </c>
      <c r="I9" s="9" t="s">
        <v>607</v>
      </c>
      <c r="J9" s="9" t="s">
        <v>37</v>
      </c>
    </row>
    <row r="10" customFormat="false" ht="27.75" hidden="false" customHeight="true" outlineLevel="0" collapsed="false">
      <c r="A10" s="8" t="s">
        <v>608</v>
      </c>
      <c r="B10" s="8" t="s">
        <v>600</v>
      </c>
      <c r="C10" s="8" t="s">
        <v>609</v>
      </c>
      <c r="D10" s="8" t="s">
        <v>610</v>
      </c>
      <c r="E10" s="8" t="s">
        <v>611</v>
      </c>
      <c r="F10" s="8" t="s">
        <v>604</v>
      </c>
      <c r="G10" s="8" t="s">
        <v>605</v>
      </c>
      <c r="H10" s="8" t="s">
        <v>606</v>
      </c>
      <c r="I10" s="8" t="s">
        <v>607</v>
      </c>
      <c r="J10" s="8" t="s">
        <v>41</v>
      </c>
    </row>
    <row r="11" customFormat="false" ht="27.75" hidden="false" customHeight="true" outlineLevel="0" collapsed="false">
      <c r="A11" s="9" t="s">
        <v>612</v>
      </c>
      <c r="B11" s="9" t="s">
        <v>600</v>
      </c>
      <c r="C11" s="9" t="s">
        <v>613</v>
      </c>
      <c r="D11" s="9" t="s">
        <v>614</v>
      </c>
      <c r="E11" s="9" t="s">
        <v>615</v>
      </c>
      <c r="F11" s="9" t="s">
        <v>604</v>
      </c>
      <c r="G11" s="9" t="s">
        <v>605</v>
      </c>
      <c r="H11" s="9" t="s">
        <v>606</v>
      </c>
      <c r="I11" s="9" t="s">
        <v>607</v>
      </c>
      <c r="J11" s="9" t="s">
        <v>44</v>
      </c>
    </row>
    <row r="12" customFormat="false" ht="27.75" hidden="false" customHeight="true" outlineLevel="0" collapsed="false">
      <c r="A12" s="8" t="s">
        <v>616</v>
      </c>
      <c r="B12" s="8" t="s">
        <v>600</v>
      </c>
      <c r="C12" s="8" t="s">
        <v>617</v>
      </c>
      <c r="D12" s="8" t="s">
        <v>602</v>
      </c>
      <c r="E12" s="8" t="s">
        <v>603</v>
      </c>
      <c r="F12" s="8" t="s">
        <v>618</v>
      </c>
      <c r="G12" s="8" t="s">
        <v>619</v>
      </c>
      <c r="H12" s="8" t="s">
        <v>606</v>
      </c>
      <c r="I12" s="8" t="s">
        <v>607</v>
      </c>
      <c r="J12" s="8" t="s">
        <v>47</v>
      </c>
    </row>
    <row r="13" customFormat="false" ht="27.75" hidden="false" customHeight="true" outlineLevel="0" collapsed="false">
      <c r="A13" s="9" t="s">
        <v>620</v>
      </c>
      <c r="B13" s="9" t="s">
        <v>600</v>
      </c>
      <c r="C13" s="9" t="s">
        <v>621</v>
      </c>
      <c r="D13" s="9" t="s">
        <v>610</v>
      </c>
      <c r="E13" s="9" t="s">
        <v>611</v>
      </c>
      <c r="F13" s="9" t="s">
        <v>618</v>
      </c>
      <c r="G13" s="9" t="s">
        <v>619</v>
      </c>
      <c r="H13" s="9" t="s">
        <v>606</v>
      </c>
      <c r="I13" s="9" t="s">
        <v>607</v>
      </c>
      <c r="J13" s="9" t="s">
        <v>50</v>
      </c>
    </row>
    <row r="14" customFormat="false" ht="27.75" hidden="false" customHeight="true" outlineLevel="0" collapsed="false">
      <c r="A14" s="8" t="s">
        <v>622</v>
      </c>
      <c r="B14" s="8" t="s">
        <v>600</v>
      </c>
      <c r="C14" s="8" t="s">
        <v>623</v>
      </c>
      <c r="D14" s="8" t="s">
        <v>614</v>
      </c>
      <c r="E14" s="8" t="s">
        <v>615</v>
      </c>
      <c r="F14" s="8" t="s">
        <v>618</v>
      </c>
      <c r="G14" s="8" t="s">
        <v>619</v>
      </c>
      <c r="H14" s="8" t="s">
        <v>606</v>
      </c>
      <c r="I14" s="8" t="s">
        <v>607</v>
      </c>
      <c r="J14" s="8" t="s">
        <v>52</v>
      </c>
    </row>
    <row r="17" customFormat="false" ht="15" hidden="false" customHeight="true" outlineLevel="0" collapsed="false">
      <c r="A17" s="6" t="s">
        <v>624</v>
      </c>
    </row>
    <row r="18" customFormat="false" ht="15" hidden="false" customHeight="true" outlineLevel="0" collapsed="false">
      <c r="A18" s="23" t="s">
        <v>625</v>
      </c>
      <c r="B18" s="23"/>
      <c r="C18" s="23"/>
      <c r="D18" s="23"/>
      <c r="E18" s="23"/>
      <c r="F18" s="23"/>
      <c r="G18" s="23"/>
      <c r="H18" s="23"/>
      <c r="I18" s="23"/>
      <c r="J18" s="23"/>
    </row>
    <row r="19" customFormat="false" ht="15" hidden="false" customHeight="true" outlineLevel="0" collapsed="false">
      <c r="A19" s="23" t="s">
        <v>626</v>
      </c>
      <c r="B19" s="23"/>
      <c r="C19" s="23"/>
      <c r="D19" s="23"/>
      <c r="E19" s="23"/>
      <c r="F19" s="23"/>
      <c r="G19" s="23"/>
      <c r="H19" s="23"/>
      <c r="I19" s="23"/>
      <c r="J19" s="23"/>
    </row>
    <row r="20" customFormat="false" ht="15" hidden="false" customHeight="true" outlineLevel="0" collapsed="false">
      <c r="A20" s="23" t="s">
        <v>627</v>
      </c>
      <c r="B20" s="23"/>
      <c r="C20" s="23"/>
      <c r="D20" s="23"/>
      <c r="E20" s="23"/>
      <c r="F20" s="23"/>
      <c r="G20" s="23"/>
      <c r="H20" s="23"/>
      <c r="I20" s="23"/>
      <c r="J20" s="23"/>
    </row>
    <row r="21" customFormat="false" ht="15" hidden="false" customHeight="true" outlineLevel="0" collapsed="false">
      <c r="A21" s="23" t="s">
        <v>628</v>
      </c>
      <c r="B21" s="23"/>
      <c r="C21" s="23"/>
      <c r="D21" s="23"/>
      <c r="E21" s="23"/>
      <c r="F21" s="23"/>
      <c r="G21" s="23"/>
      <c r="H21" s="23"/>
      <c r="I21" s="23"/>
      <c r="J21" s="23"/>
    </row>
    <row r="22" customFormat="false" ht="15" hidden="false" customHeight="true" outlineLevel="0" collapsed="false">
      <c r="A22" s="23" t="s">
        <v>629</v>
      </c>
      <c r="B22" s="23"/>
      <c r="C22" s="23"/>
      <c r="D22" s="23"/>
      <c r="E22" s="23"/>
      <c r="F22" s="23"/>
      <c r="G22" s="23"/>
      <c r="H22" s="23"/>
      <c r="I22" s="23"/>
      <c r="J22" s="23"/>
    </row>
    <row r="23" customFormat="false" ht="15" hidden="false" customHeight="true" outlineLevel="0" collapsed="false">
      <c r="A23" s="23" t="s">
        <v>630</v>
      </c>
      <c r="B23" s="23"/>
      <c r="C23" s="23"/>
      <c r="D23" s="23"/>
      <c r="E23" s="23"/>
      <c r="F23" s="23"/>
      <c r="G23" s="23"/>
      <c r="H23" s="23"/>
      <c r="I23" s="23"/>
      <c r="J23" s="23"/>
    </row>
  </sheetData>
  <mergeCells count="11">
    <mergeCell ref="A1:J1"/>
    <mergeCell ref="A2:J2"/>
    <mergeCell ref="A4:J4"/>
    <mergeCell ref="A5:J5"/>
    <mergeCell ref="A6:J6"/>
    <mergeCell ref="A18:J18"/>
    <mergeCell ref="A19:J19"/>
    <mergeCell ref="A20:J20"/>
    <mergeCell ref="A21:J21"/>
    <mergeCell ref="A22:J22"/>
    <mergeCell ref="A23:J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5F3A"/>
    <pageSetUpPr fitToPage="false"/>
  </sheetPr>
  <dimension ref="A1:J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2"/>
    <col collapsed="false" customWidth="true" hidden="false" outlineLevel="0" max="3" min="3" style="1" width="14"/>
    <col collapsed="false" customWidth="true" hidden="false" outlineLevel="0" max="4" min="4" style="1" width="22"/>
    <col collapsed="false" customWidth="true" hidden="false" outlineLevel="0" max="5" min="5" style="1" width="14"/>
    <col collapsed="false" customWidth="true" hidden="false" outlineLevel="0" max="7" min="6" style="1" width="12"/>
    <col collapsed="false" customWidth="true" hidden="false" outlineLevel="0" max="8" min="8" style="1" width="38"/>
    <col collapsed="false" customWidth="true" hidden="false" outlineLevel="0" max="9" min="9" style="1" width="44"/>
    <col collapsed="false" customWidth="true" hidden="false" outlineLevel="0" max="10" min="10" style="1" width="18"/>
  </cols>
  <sheetData>
    <row r="1" customFormat="false" ht="27.75" hidden="false" customHeight="true" outlineLevel="0" collapsed="false">
      <c r="A1" s="24" t="s">
        <v>631</v>
      </c>
      <c r="B1" s="24"/>
      <c r="C1" s="24"/>
      <c r="D1" s="24"/>
      <c r="E1" s="24"/>
      <c r="F1" s="24"/>
      <c r="G1" s="24"/>
      <c r="H1" s="24"/>
      <c r="I1" s="24"/>
      <c r="J1" s="24"/>
    </row>
    <row r="2" customFormat="false" ht="15" hidden="false" customHeight="true" outlineLevel="0" collapsed="false">
      <c r="A2" s="25" t="s">
        <v>632</v>
      </c>
      <c r="B2" s="25"/>
      <c r="C2" s="25"/>
      <c r="D2" s="25"/>
      <c r="E2" s="25"/>
      <c r="F2" s="25"/>
      <c r="G2" s="25"/>
      <c r="H2" s="25"/>
      <c r="I2" s="25"/>
      <c r="J2" s="25"/>
    </row>
    <row r="3" customFormat="false" ht="19.5" hidden="false" customHeight="true" outlineLevel="0" collapsed="false">
      <c r="A3" s="26" t="s">
        <v>633</v>
      </c>
      <c r="B3" s="26"/>
      <c r="C3" s="26"/>
      <c r="D3" s="26"/>
      <c r="E3" s="26"/>
      <c r="F3" s="26"/>
      <c r="G3" s="26"/>
      <c r="H3" s="26"/>
      <c r="I3" s="26"/>
      <c r="J3" s="26"/>
    </row>
    <row r="4" customFormat="false" ht="27.75" hidden="false" customHeight="true" outlineLevel="0" collapsed="false">
      <c r="A4" s="27" t="s">
        <v>634</v>
      </c>
      <c r="B4" s="27" t="s">
        <v>321</v>
      </c>
      <c r="C4" s="27" t="s">
        <v>322</v>
      </c>
      <c r="D4" s="27" t="s">
        <v>323</v>
      </c>
      <c r="E4" s="27" t="s">
        <v>635</v>
      </c>
      <c r="F4" s="27" t="s">
        <v>636</v>
      </c>
      <c r="G4" s="27" t="s">
        <v>481</v>
      </c>
      <c r="H4" s="27" t="s">
        <v>637</v>
      </c>
      <c r="I4" s="27" t="s">
        <v>210</v>
      </c>
      <c r="J4" s="27" t="s">
        <v>638</v>
      </c>
    </row>
    <row r="5" customFormat="false" ht="43.5" hidden="false" customHeight="true" outlineLevel="0" collapsed="false">
      <c r="A5" s="28" t="s">
        <v>639</v>
      </c>
      <c r="B5" s="28" t="s">
        <v>290</v>
      </c>
      <c r="C5" s="28" t="s">
        <v>328</v>
      </c>
      <c r="D5" s="28" t="s">
        <v>226</v>
      </c>
      <c r="E5" s="21" t="s">
        <v>640</v>
      </c>
      <c r="F5" s="28" t="s">
        <v>215</v>
      </c>
      <c r="G5" s="28" t="n">
        <v>1</v>
      </c>
      <c r="H5" s="28" t="s">
        <v>641</v>
      </c>
      <c r="I5" s="28" t="s">
        <v>330</v>
      </c>
      <c r="J5" s="28"/>
    </row>
    <row r="6" customFormat="false" ht="43.5" hidden="false" customHeight="true" outlineLevel="0" collapsed="false">
      <c r="A6" s="28" t="s">
        <v>642</v>
      </c>
      <c r="B6" s="28" t="s">
        <v>226</v>
      </c>
      <c r="C6" s="28" t="s">
        <v>332</v>
      </c>
      <c r="D6" s="28" t="s">
        <v>232</v>
      </c>
      <c r="E6" s="21" t="s">
        <v>640</v>
      </c>
      <c r="F6" s="28" t="s">
        <v>215</v>
      </c>
      <c r="G6" s="28" t="n">
        <v>2</v>
      </c>
      <c r="H6" s="28" t="s">
        <v>643</v>
      </c>
      <c r="I6" s="28" t="s">
        <v>235</v>
      </c>
      <c r="J6" s="28"/>
    </row>
    <row r="7" customFormat="false" ht="43.5" hidden="false" customHeight="true" outlineLevel="0" collapsed="false">
      <c r="A7" s="28" t="s">
        <v>644</v>
      </c>
      <c r="B7" s="28" t="s">
        <v>232</v>
      </c>
      <c r="C7" s="28" t="s">
        <v>334</v>
      </c>
      <c r="D7" s="28" t="s">
        <v>238</v>
      </c>
      <c r="E7" s="21" t="s">
        <v>640</v>
      </c>
      <c r="F7" s="28" t="s">
        <v>215</v>
      </c>
      <c r="G7" s="28" t="n">
        <v>3</v>
      </c>
      <c r="H7" s="28" t="s">
        <v>645</v>
      </c>
      <c r="I7" s="28" t="s">
        <v>241</v>
      </c>
      <c r="J7" s="28"/>
    </row>
    <row r="8" customFormat="false" ht="43.5" hidden="false" customHeight="true" outlineLevel="0" collapsed="false">
      <c r="A8" s="28" t="s">
        <v>646</v>
      </c>
      <c r="B8" s="28" t="s">
        <v>250</v>
      </c>
      <c r="C8" s="28" t="s">
        <v>337</v>
      </c>
      <c r="D8" s="28" t="s">
        <v>244</v>
      </c>
      <c r="E8" s="21" t="s">
        <v>640</v>
      </c>
      <c r="F8" s="28" t="s">
        <v>215</v>
      </c>
      <c r="G8" s="28" t="n">
        <v>1</v>
      </c>
      <c r="H8" s="28" t="s">
        <v>647</v>
      </c>
      <c r="I8" s="28" t="s">
        <v>247</v>
      </c>
      <c r="J8" s="28"/>
    </row>
    <row r="9" customFormat="false" ht="43.5" hidden="false" customHeight="true" outlineLevel="0" collapsed="false">
      <c r="A9" s="28" t="s">
        <v>648</v>
      </c>
      <c r="B9" s="28" t="s">
        <v>256</v>
      </c>
      <c r="C9" s="28" t="s">
        <v>337</v>
      </c>
      <c r="D9" s="28" t="s">
        <v>649</v>
      </c>
      <c r="E9" s="21" t="s">
        <v>640</v>
      </c>
      <c r="F9" s="28" t="s">
        <v>215</v>
      </c>
      <c r="G9" s="28" t="n">
        <v>1</v>
      </c>
      <c r="H9" s="28" t="s">
        <v>650</v>
      </c>
      <c r="I9" s="28" t="s">
        <v>343</v>
      </c>
      <c r="J9" s="28"/>
    </row>
    <row r="10" customFormat="false" ht="43.5" hidden="false" customHeight="true" outlineLevel="0" collapsed="false">
      <c r="A10" s="28" t="s">
        <v>651</v>
      </c>
      <c r="B10" s="28" t="s">
        <v>220</v>
      </c>
      <c r="C10" s="28" t="s">
        <v>345</v>
      </c>
      <c r="D10" s="28" t="s">
        <v>652</v>
      </c>
      <c r="E10" s="21" t="s">
        <v>640</v>
      </c>
      <c r="F10" s="28" t="s">
        <v>215</v>
      </c>
      <c r="G10" s="28" t="n">
        <v>1</v>
      </c>
      <c r="H10" s="28" t="s">
        <v>653</v>
      </c>
      <c r="I10" s="28" t="s">
        <v>347</v>
      </c>
      <c r="J10" s="28"/>
    </row>
    <row r="11" customFormat="false" ht="43.5" hidden="false" customHeight="true" outlineLevel="0" collapsed="false">
      <c r="A11" s="28" t="s">
        <v>654</v>
      </c>
      <c r="B11" s="28" t="s">
        <v>339</v>
      </c>
      <c r="C11" s="28" t="s">
        <v>340</v>
      </c>
      <c r="D11" s="28" t="s">
        <v>260</v>
      </c>
      <c r="E11" s="21" t="s">
        <v>640</v>
      </c>
      <c r="F11" s="28" t="s">
        <v>215</v>
      </c>
      <c r="G11" s="28" t="n">
        <v>1</v>
      </c>
      <c r="H11" s="28" t="s">
        <v>655</v>
      </c>
      <c r="I11" s="28" t="s">
        <v>341</v>
      </c>
      <c r="J11" s="28" t="s">
        <v>656</v>
      </c>
    </row>
    <row r="12" customFormat="false" ht="43.5" hidden="false" customHeight="true" outlineLevel="0" collapsed="false">
      <c r="A12" s="28" t="s">
        <v>657</v>
      </c>
      <c r="B12" s="28" t="s">
        <v>299</v>
      </c>
      <c r="C12" s="28" t="s">
        <v>658</v>
      </c>
      <c r="D12" s="28" t="s">
        <v>659</v>
      </c>
      <c r="E12" s="21" t="s">
        <v>640</v>
      </c>
      <c r="F12" s="28" t="s">
        <v>215</v>
      </c>
      <c r="G12" s="28" t="n">
        <v>1</v>
      </c>
      <c r="H12" s="28" t="s">
        <v>660</v>
      </c>
      <c r="I12" s="28" t="s">
        <v>300</v>
      </c>
      <c r="J12" s="28"/>
    </row>
    <row r="13" customFormat="false" ht="43.5" hidden="false" customHeight="true" outlineLevel="0" collapsed="false">
      <c r="A13" s="28" t="s">
        <v>661</v>
      </c>
      <c r="B13" s="28" t="s">
        <v>220</v>
      </c>
      <c r="C13" s="28" t="s">
        <v>662</v>
      </c>
      <c r="D13" s="28" t="s">
        <v>663</v>
      </c>
      <c r="E13" s="21" t="s">
        <v>640</v>
      </c>
      <c r="F13" s="28" t="s">
        <v>664</v>
      </c>
      <c r="G13" s="28" t="n">
        <v>1</v>
      </c>
      <c r="H13" s="28" t="s">
        <v>665</v>
      </c>
      <c r="I13" s="28" t="s">
        <v>666</v>
      </c>
      <c r="J13" s="28" t="s">
        <v>667</v>
      </c>
    </row>
    <row r="14" customFormat="false" ht="43.5" hidden="false" customHeight="true" outlineLevel="0" collapsed="false">
      <c r="A14" s="28" t="s">
        <v>668</v>
      </c>
      <c r="B14" s="28" t="s">
        <v>294</v>
      </c>
      <c r="C14" s="28" t="s">
        <v>669</v>
      </c>
      <c r="D14" s="28" t="s">
        <v>670</v>
      </c>
      <c r="E14" s="21" t="s">
        <v>640</v>
      </c>
      <c r="F14" s="28" t="s">
        <v>664</v>
      </c>
      <c r="G14" s="28" t="n">
        <v>1</v>
      </c>
      <c r="H14" s="28" t="s">
        <v>671</v>
      </c>
      <c r="I14" s="28" t="s">
        <v>296</v>
      </c>
      <c r="J14" s="28" t="s">
        <v>664</v>
      </c>
    </row>
    <row r="16" customFormat="false" ht="15" hidden="false" customHeight="true" outlineLevel="0" collapsed="false">
      <c r="A16" s="6" t="s">
        <v>672</v>
      </c>
    </row>
    <row r="17" customFormat="false" ht="15" hidden="false" customHeight="true" outlineLevel="0" collapsed="false">
      <c r="A17" s="1" t="s">
        <v>673</v>
      </c>
      <c r="B17" s="29" t="n">
        <f aca="false">COUNTA(A5:A14)</f>
        <v>10</v>
      </c>
    </row>
    <row r="18" customFormat="false" ht="15" hidden="false" customHeight="true" outlineLevel="0" collapsed="false">
      <c r="A18" s="1" t="s">
        <v>674</v>
      </c>
      <c r="B18" s="30" t="n">
        <f aca="false">COUNTIF(E5:E14,"REASONING")</f>
        <v>10</v>
      </c>
    </row>
    <row r="19" customFormat="false" ht="15" hidden="false" customHeight="true" outlineLevel="0" collapsed="false">
      <c r="A19" s="1" t="s">
        <v>675</v>
      </c>
      <c r="B19" s="31" t="n">
        <f aca="false">COUNTIF(E5:E14,"FEATURE_DESC")</f>
        <v>0</v>
      </c>
    </row>
    <row r="20" customFormat="false" ht="15" hidden="false" customHeight="true" outlineLevel="0" collapsed="false">
      <c r="A20" s="1" t="s">
        <v>676</v>
      </c>
      <c r="B20" s="32" t="s">
        <v>677</v>
      </c>
    </row>
  </sheetData>
  <mergeCells count="3">
    <mergeCell ref="A1:J1"/>
    <mergeCell ref="A2:J2"/>
    <mergeCell ref="A3:J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C2D12"/>
    <pageSetUpPr fitToPage="false"/>
  </sheetPr>
  <dimension ref="A1:J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2"/>
    <col collapsed="false" customWidth="true" hidden="false" outlineLevel="0" max="3" min="3" style="1" width="14"/>
    <col collapsed="false" customWidth="true" hidden="false" outlineLevel="0" max="4" min="4" style="1" width="22"/>
    <col collapsed="false" customWidth="true" hidden="false" outlineLevel="0" max="5" min="5" style="1" width="14"/>
    <col collapsed="false" customWidth="true" hidden="false" outlineLevel="0" max="7" min="6" style="1" width="12"/>
    <col collapsed="false" customWidth="true" hidden="false" outlineLevel="0" max="8" min="8" style="1" width="38"/>
    <col collapsed="false" customWidth="true" hidden="false" outlineLevel="0" max="9" min="9" style="1" width="44"/>
    <col collapsed="false" customWidth="true" hidden="false" outlineLevel="0" max="10" min="10" style="1" width="18"/>
  </cols>
  <sheetData>
    <row r="1" customFormat="false" ht="27.75" hidden="false" customHeight="true" outlineLevel="0" collapsed="false">
      <c r="A1" s="24" t="s">
        <v>678</v>
      </c>
      <c r="B1" s="24"/>
      <c r="C1" s="24"/>
      <c r="D1" s="24"/>
      <c r="E1" s="24"/>
      <c r="F1" s="24"/>
      <c r="G1" s="24"/>
      <c r="H1" s="24"/>
      <c r="I1" s="24"/>
      <c r="J1" s="24"/>
    </row>
    <row r="2" customFormat="false" ht="15" hidden="false" customHeight="true" outlineLevel="0" collapsed="false">
      <c r="A2" s="25" t="s">
        <v>679</v>
      </c>
      <c r="B2" s="25"/>
      <c r="C2" s="25"/>
      <c r="D2" s="25"/>
      <c r="E2" s="25"/>
      <c r="F2" s="25"/>
      <c r="G2" s="25"/>
      <c r="H2" s="25"/>
      <c r="I2" s="25"/>
      <c r="J2" s="25"/>
    </row>
    <row r="3" customFormat="false" ht="19.5" hidden="false" customHeight="true" outlineLevel="0" collapsed="false">
      <c r="A3" s="33" t="s">
        <v>680</v>
      </c>
      <c r="B3" s="33"/>
      <c r="C3" s="33"/>
      <c r="D3" s="33"/>
      <c r="E3" s="33"/>
      <c r="F3" s="33"/>
      <c r="G3" s="33"/>
      <c r="H3" s="33"/>
      <c r="I3" s="33"/>
      <c r="J3" s="33"/>
    </row>
    <row r="4" customFormat="false" ht="27.75" hidden="false" customHeight="true" outlineLevel="0" collapsed="false">
      <c r="A4" s="34" t="s">
        <v>634</v>
      </c>
      <c r="B4" s="34" t="s">
        <v>321</v>
      </c>
      <c r="C4" s="34" t="s">
        <v>322</v>
      </c>
      <c r="D4" s="34" t="s">
        <v>323</v>
      </c>
      <c r="E4" s="34" t="s">
        <v>635</v>
      </c>
      <c r="F4" s="34" t="s">
        <v>636</v>
      </c>
      <c r="G4" s="34" t="s">
        <v>481</v>
      </c>
      <c r="H4" s="34" t="s">
        <v>637</v>
      </c>
      <c r="I4" s="34" t="s">
        <v>210</v>
      </c>
      <c r="J4" s="34" t="s">
        <v>638</v>
      </c>
    </row>
    <row r="5" customFormat="false" ht="43.5" hidden="false" customHeight="true" outlineLevel="0" collapsed="false">
      <c r="A5" s="28" t="s">
        <v>681</v>
      </c>
      <c r="B5" s="28" t="s">
        <v>290</v>
      </c>
      <c r="C5" s="28" t="s">
        <v>328</v>
      </c>
      <c r="D5" s="28" t="s">
        <v>226</v>
      </c>
      <c r="E5" s="21" t="s">
        <v>640</v>
      </c>
      <c r="F5" s="28" t="s">
        <v>215</v>
      </c>
      <c r="G5" s="28" t="n">
        <v>1</v>
      </c>
      <c r="H5" s="28" t="s">
        <v>682</v>
      </c>
      <c r="I5" s="28" t="s">
        <v>229</v>
      </c>
      <c r="J5" s="28"/>
    </row>
    <row r="6" customFormat="false" ht="43.5" hidden="false" customHeight="true" outlineLevel="0" collapsed="false">
      <c r="A6" s="28" t="s">
        <v>683</v>
      </c>
      <c r="B6" s="28" t="s">
        <v>226</v>
      </c>
      <c r="C6" s="28" t="s">
        <v>332</v>
      </c>
      <c r="D6" s="28" t="s">
        <v>232</v>
      </c>
      <c r="E6" s="21" t="s">
        <v>640</v>
      </c>
      <c r="F6" s="28" t="s">
        <v>215</v>
      </c>
      <c r="G6" s="28" t="n">
        <v>2</v>
      </c>
      <c r="H6" s="28" t="s">
        <v>684</v>
      </c>
      <c r="I6" s="28" t="s">
        <v>235</v>
      </c>
      <c r="J6" s="28"/>
    </row>
    <row r="7" customFormat="false" ht="43.5" hidden="false" customHeight="true" outlineLevel="0" collapsed="false">
      <c r="A7" s="28" t="s">
        <v>685</v>
      </c>
      <c r="B7" s="28" t="s">
        <v>232</v>
      </c>
      <c r="C7" s="28" t="s">
        <v>334</v>
      </c>
      <c r="D7" s="28" t="s">
        <v>238</v>
      </c>
      <c r="E7" s="21" t="s">
        <v>640</v>
      </c>
      <c r="F7" s="28" t="s">
        <v>215</v>
      </c>
      <c r="G7" s="28" t="n">
        <v>3</v>
      </c>
      <c r="H7" s="28" t="s">
        <v>686</v>
      </c>
      <c r="I7" s="28" t="s">
        <v>241</v>
      </c>
      <c r="J7" s="28"/>
    </row>
    <row r="8" customFormat="false" ht="43.5" hidden="false" customHeight="true" outlineLevel="0" collapsed="false">
      <c r="A8" s="28" t="s">
        <v>687</v>
      </c>
      <c r="B8" s="28" t="s">
        <v>250</v>
      </c>
      <c r="C8" s="28" t="s">
        <v>337</v>
      </c>
      <c r="D8" s="28" t="s">
        <v>244</v>
      </c>
      <c r="E8" s="21" t="s">
        <v>640</v>
      </c>
      <c r="F8" s="28" t="s">
        <v>215</v>
      </c>
      <c r="G8" s="28" t="n">
        <v>1</v>
      </c>
      <c r="H8" s="28" t="s">
        <v>688</v>
      </c>
      <c r="I8" s="28" t="s">
        <v>247</v>
      </c>
      <c r="J8" s="28"/>
    </row>
    <row r="9" customFormat="false" ht="43.5" hidden="false" customHeight="true" outlineLevel="0" collapsed="false">
      <c r="A9" s="28" t="s">
        <v>689</v>
      </c>
      <c r="B9" s="28" t="s">
        <v>256</v>
      </c>
      <c r="C9" s="28" t="s">
        <v>337</v>
      </c>
      <c r="D9" s="28" t="s">
        <v>690</v>
      </c>
      <c r="E9" s="21" t="s">
        <v>640</v>
      </c>
      <c r="F9" s="28" t="s">
        <v>215</v>
      </c>
      <c r="G9" s="28" t="n">
        <v>1</v>
      </c>
      <c r="H9" s="28" t="s">
        <v>691</v>
      </c>
      <c r="I9" s="28" t="s">
        <v>263</v>
      </c>
      <c r="J9" s="28"/>
    </row>
    <row r="10" customFormat="false" ht="43.5" hidden="false" customHeight="true" outlineLevel="0" collapsed="false">
      <c r="A10" s="28" t="s">
        <v>692</v>
      </c>
      <c r="B10" s="28" t="s">
        <v>339</v>
      </c>
      <c r="C10" s="28" t="s">
        <v>349</v>
      </c>
      <c r="D10" s="28" t="s">
        <v>693</v>
      </c>
      <c r="E10" s="16" t="s">
        <v>694</v>
      </c>
      <c r="F10" s="28" t="s">
        <v>268</v>
      </c>
      <c r="G10" s="28" t="n">
        <v>1</v>
      </c>
      <c r="H10" s="28" t="s">
        <v>695</v>
      </c>
      <c r="I10" s="28" t="s">
        <v>666</v>
      </c>
      <c r="J10" s="35" t="s">
        <v>696</v>
      </c>
    </row>
    <row r="11" customFormat="false" ht="43.5" hidden="false" customHeight="true" outlineLevel="0" collapsed="false">
      <c r="A11" s="28" t="s">
        <v>697</v>
      </c>
      <c r="B11" s="28" t="s">
        <v>339</v>
      </c>
      <c r="C11" s="28" t="s">
        <v>349</v>
      </c>
      <c r="D11" s="28" t="s">
        <v>698</v>
      </c>
      <c r="E11" s="16" t="s">
        <v>694</v>
      </c>
      <c r="F11" s="28" t="s">
        <v>268</v>
      </c>
      <c r="G11" s="28" t="n">
        <v>1</v>
      </c>
      <c r="H11" s="28" t="s">
        <v>699</v>
      </c>
      <c r="I11" s="28" t="s">
        <v>700</v>
      </c>
      <c r="J11" s="35" t="s">
        <v>701</v>
      </c>
    </row>
    <row r="12" customFormat="false" ht="43.5" hidden="false" customHeight="true" outlineLevel="0" collapsed="false">
      <c r="A12" s="28" t="s">
        <v>702</v>
      </c>
      <c r="B12" s="28" t="s">
        <v>339</v>
      </c>
      <c r="C12" s="28" t="s">
        <v>349</v>
      </c>
      <c r="D12" s="28" t="s">
        <v>703</v>
      </c>
      <c r="E12" s="16" t="s">
        <v>694</v>
      </c>
      <c r="F12" s="28" t="s">
        <v>268</v>
      </c>
      <c r="G12" s="28" t="n">
        <v>1</v>
      </c>
      <c r="H12" s="28" t="s">
        <v>704</v>
      </c>
      <c r="I12" s="28" t="s">
        <v>705</v>
      </c>
      <c r="J12" s="35" t="s">
        <v>701</v>
      </c>
    </row>
    <row r="13" customFormat="false" ht="43.5" hidden="false" customHeight="true" outlineLevel="0" collapsed="false">
      <c r="A13" s="28" t="s">
        <v>706</v>
      </c>
      <c r="B13" s="28" t="s">
        <v>220</v>
      </c>
      <c r="C13" s="28" t="s">
        <v>349</v>
      </c>
      <c r="D13" s="28" t="s">
        <v>707</v>
      </c>
      <c r="E13" s="16" t="s">
        <v>694</v>
      </c>
      <c r="F13" s="28" t="s">
        <v>268</v>
      </c>
      <c r="G13" s="28" t="n">
        <v>1</v>
      </c>
      <c r="H13" s="28" t="s">
        <v>708</v>
      </c>
      <c r="I13" s="28" t="s">
        <v>223</v>
      </c>
      <c r="J13" s="35" t="s">
        <v>701</v>
      </c>
    </row>
    <row r="14" customFormat="false" ht="43.5" hidden="false" customHeight="true" outlineLevel="0" collapsed="false">
      <c r="A14" s="28" t="s">
        <v>709</v>
      </c>
      <c r="B14" s="28" t="s">
        <v>294</v>
      </c>
      <c r="C14" s="28" t="s">
        <v>349</v>
      </c>
      <c r="D14" s="28" t="s">
        <v>710</v>
      </c>
      <c r="E14" s="16" t="s">
        <v>694</v>
      </c>
      <c r="F14" s="28" t="s">
        <v>268</v>
      </c>
      <c r="G14" s="28" t="n">
        <v>1</v>
      </c>
      <c r="H14" s="28" t="s">
        <v>711</v>
      </c>
      <c r="I14" s="28" t="s">
        <v>296</v>
      </c>
      <c r="J14" s="35" t="s">
        <v>701</v>
      </c>
    </row>
    <row r="15" customFormat="false" ht="43.5" hidden="false" customHeight="true" outlineLevel="0" collapsed="false">
      <c r="A15" s="28" t="s">
        <v>712</v>
      </c>
      <c r="B15" s="28" t="s">
        <v>299</v>
      </c>
      <c r="C15" s="28" t="s">
        <v>349</v>
      </c>
      <c r="D15" s="28" t="s">
        <v>713</v>
      </c>
      <c r="E15" s="16" t="s">
        <v>694</v>
      </c>
      <c r="F15" s="28" t="s">
        <v>268</v>
      </c>
      <c r="G15" s="28" t="n">
        <v>1</v>
      </c>
      <c r="H15" s="28" t="s">
        <v>714</v>
      </c>
      <c r="I15" s="28" t="s">
        <v>300</v>
      </c>
      <c r="J15" s="35" t="s">
        <v>701</v>
      </c>
    </row>
    <row r="16" customFormat="false" ht="43.5" hidden="false" customHeight="true" outlineLevel="0" collapsed="false">
      <c r="A16" s="28" t="s">
        <v>715</v>
      </c>
      <c r="B16" s="28" t="s">
        <v>339</v>
      </c>
      <c r="C16" s="28" t="s">
        <v>349</v>
      </c>
      <c r="D16" s="28" t="s">
        <v>716</v>
      </c>
      <c r="E16" s="16" t="s">
        <v>694</v>
      </c>
      <c r="F16" s="28" t="s">
        <v>268</v>
      </c>
      <c r="G16" s="28" t="n">
        <v>1</v>
      </c>
      <c r="H16" s="28" t="s">
        <v>717</v>
      </c>
      <c r="I16" s="28" t="s">
        <v>718</v>
      </c>
      <c r="J16" s="35" t="s">
        <v>719</v>
      </c>
    </row>
    <row r="17" customFormat="false" ht="43.5" hidden="false" customHeight="true" outlineLevel="0" collapsed="false">
      <c r="A17" s="28" t="s">
        <v>720</v>
      </c>
      <c r="B17" s="28" t="s">
        <v>250</v>
      </c>
      <c r="C17" s="28" t="s">
        <v>349</v>
      </c>
      <c r="D17" s="28" t="s">
        <v>721</v>
      </c>
      <c r="E17" s="16" t="s">
        <v>694</v>
      </c>
      <c r="F17" s="28" t="s">
        <v>268</v>
      </c>
      <c r="G17" s="28" t="n">
        <v>1</v>
      </c>
      <c r="H17" s="28" t="s">
        <v>722</v>
      </c>
      <c r="I17" s="28" t="s">
        <v>723</v>
      </c>
      <c r="J17" s="35" t="s">
        <v>701</v>
      </c>
    </row>
    <row r="18" customFormat="false" ht="43.5" hidden="false" customHeight="true" outlineLevel="0" collapsed="false">
      <c r="A18" s="28" t="s">
        <v>724</v>
      </c>
      <c r="B18" s="28" t="s">
        <v>220</v>
      </c>
      <c r="C18" s="28" t="s">
        <v>483</v>
      </c>
      <c r="D18" s="28" t="s">
        <v>725</v>
      </c>
      <c r="E18" s="16" t="s">
        <v>694</v>
      </c>
      <c r="F18" s="28" t="s">
        <v>268</v>
      </c>
      <c r="G18" s="28" t="n">
        <v>1</v>
      </c>
      <c r="H18" s="28" t="s">
        <v>726</v>
      </c>
      <c r="I18" s="28" t="s">
        <v>727</v>
      </c>
      <c r="J18" s="35" t="s">
        <v>728</v>
      </c>
    </row>
    <row r="19" customFormat="false" ht="43.5" hidden="false" customHeight="true" outlineLevel="0" collapsed="false">
      <c r="A19" s="28" t="s">
        <v>729</v>
      </c>
      <c r="B19" s="28" t="s">
        <v>256</v>
      </c>
      <c r="C19" s="28" t="s">
        <v>349</v>
      </c>
      <c r="D19" s="28" t="s">
        <v>730</v>
      </c>
      <c r="E19" s="16" t="s">
        <v>694</v>
      </c>
      <c r="F19" s="28" t="s">
        <v>268</v>
      </c>
      <c r="G19" s="28" t="n">
        <v>1</v>
      </c>
      <c r="H19" s="28" t="s">
        <v>731</v>
      </c>
      <c r="I19" s="28" t="s">
        <v>727</v>
      </c>
      <c r="J19" s="35" t="s">
        <v>728</v>
      </c>
    </row>
    <row r="20" customFormat="false" ht="43.5" hidden="false" customHeight="true" outlineLevel="0" collapsed="false">
      <c r="A20" s="28" t="s">
        <v>732</v>
      </c>
      <c r="B20" s="28" t="s">
        <v>361</v>
      </c>
      <c r="C20" s="28" t="s">
        <v>497</v>
      </c>
      <c r="D20" s="28" t="s">
        <v>733</v>
      </c>
      <c r="E20" s="16" t="s">
        <v>694</v>
      </c>
      <c r="F20" s="28" t="s">
        <v>268</v>
      </c>
      <c r="G20" s="28" t="n">
        <v>2</v>
      </c>
      <c r="H20" s="28" t="s">
        <v>734</v>
      </c>
      <c r="I20" s="28" t="s">
        <v>735</v>
      </c>
      <c r="J20" s="35" t="s">
        <v>736</v>
      </c>
    </row>
    <row r="21" customFormat="false" ht="43.5" hidden="false" customHeight="true" outlineLevel="0" collapsed="false">
      <c r="A21" s="28" t="s">
        <v>737</v>
      </c>
      <c r="B21" s="28" t="s">
        <v>339</v>
      </c>
      <c r="C21" s="28" t="s">
        <v>349</v>
      </c>
      <c r="D21" s="28" t="s">
        <v>738</v>
      </c>
      <c r="E21" s="16" t="s">
        <v>694</v>
      </c>
      <c r="F21" s="28" t="s">
        <v>268</v>
      </c>
      <c r="G21" s="28" t="n">
        <v>1</v>
      </c>
      <c r="H21" s="28" t="s">
        <v>739</v>
      </c>
      <c r="I21" s="28" t="s">
        <v>740</v>
      </c>
      <c r="J21" s="35" t="s">
        <v>701</v>
      </c>
    </row>
    <row r="22" customFormat="false" ht="43.5" hidden="false" customHeight="true" outlineLevel="0" collapsed="false">
      <c r="A22" s="28" t="s">
        <v>741</v>
      </c>
      <c r="B22" s="28" t="s">
        <v>290</v>
      </c>
      <c r="C22" s="28" t="s">
        <v>349</v>
      </c>
      <c r="D22" s="28" t="s">
        <v>742</v>
      </c>
      <c r="E22" s="16" t="s">
        <v>694</v>
      </c>
      <c r="F22" s="28" t="s">
        <v>268</v>
      </c>
      <c r="G22" s="28" t="n">
        <v>1</v>
      </c>
      <c r="H22" s="28" t="s">
        <v>743</v>
      </c>
      <c r="I22" s="28" t="s">
        <v>744</v>
      </c>
      <c r="J22" s="35" t="s">
        <v>701</v>
      </c>
    </row>
    <row r="23" customFormat="false" ht="43.5" hidden="false" customHeight="true" outlineLevel="0" collapsed="false">
      <c r="A23" s="28" t="s">
        <v>745</v>
      </c>
      <c r="B23" s="28" t="s">
        <v>244</v>
      </c>
      <c r="C23" s="28" t="s">
        <v>483</v>
      </c>
      <c r="D23" s="28" t="s">
        <v>746</v>
      </c>
      <c r="E23" s="16" t="s">
        <v>694</v>
      </c>
      <c r="F23" s="28" t="s">
        <v>268</v>
      </c>
      <c r="G23" s="28" t="n">
        <v>1</v>
      </c>
      <c r="H23" s="28" t="s">
        <v>747</v>
      </c>
      <c r="I23" s="28" t="s">
        <v>748</v>
      </c>
      <c r="J23" s="35" t="s">
        <v>728</v>
      </c>
    </row>
    <row r="24" customFormat="false" ht="43.5" hidden="false" customHeight="true" outlineLevel="0" collapsed="false">
      <c r="A24" s="28" t="s">
        <v>749</v>
      </c>
      <c r="B24" s="28" t="s">
        <v>220</v>
      </c>
      <c r="C24" s="28" t="s">
        <v>349</v>
      </c>
      <c r="D24" s="28" t="s">
        <v>350</v>
      </c>
      <c r="E24" s="16" t="s">
        <v>694</v>
      </c>
      <c r="F24" s="28" t="s">
        <v>268</v>
      </c>
      <c r="G24" s="28" t="n">
        <v>1</v>
      </c>
      <c r="H24" s="28" t="s">
        <v>750</v>
      </c>
      <c r="I24" s="28" t="s">
        <v>751</v>
      </c>
      <c r="J24" s="35" t="s">
        <v>701</v>
      </c>
    </row>
    <row r="25" customFormat="false" ht="43.5" hidden="false" customHeight="true" outlineLevel="0" collapsed="false">
      <c r="A25" s="28" t="s">
        <v>752</v>
      </c>
      <c r="B25" s="28" t="s">
        <v>690</v>
      </c>
      <c r="C25" s="28" t="s">
        <v>492</v>
      </c>
      <c r="D25" s="28" t="s">
        <v>753</v>
      </c>
      <c r="E25" s="16" t="s">
        <v>694</v>
      </c>
      <c r="F25" s="28" t="s">
        <v>268</v>
      </c>
      <c r="G25" s="28" t="n">
        <v>1</v>
      </c>
      <c r="H25" s="28" t="s">
        <v>754</v>
      </c>
      <c r="I25" s="28" t="s">
        <v>744</v>
      </c>
      <c r="J25" s="35" t="s">
        <v>701</v>
      </c>
    </row>
    <row r="26" customFormat="false" ht="43.5" hidden="false" customHeight="true" outlineLevel="0" collapsed="false">
      <c r="A26" s="28" t="s">
        <v>755</v>
      </c>
      <c r="B26" s="28" t="s">
        <v>756</v>
      </c>
      <c r="C26" s="28" t="s">
        <v>349</v>
      </c>
      <c r="D26" s="28" t="s">
        <v>757</v>
      </c>
      <c r="E26" s="16" t="s">
        <v>694</v>
      </c>
      <c r="F26" s="28" t="s">
        <v>268</v>
      </c>
      <c r="G26" s="28" t="n">
        <v>1</v>
      </c>
      <c r="H26" s="28" t="s">
        <v>758</v>
      </c>
      <c r="I26" s="28" t="s">
        <v>744</v>
      </c>
      <c r="J26" s="35" t="s">
        <v>701</v>
      </c>
    </row>
    <row r="27" customFormat="false" ht="43.5" hidden="false" customHeight="true" outlineLevel="0" collapsed="false">
      <c r="A27" s="28" t="s">
        <v>759</v>
      </c>
      <c r="B27" s="28" t="s">
        <v>760</v>
      </c>
      <c r="C27" s="28" t="s">
        <v>761</v>
      </c>
      <c r="D27" s="28" t="s">
        <v>762</v>
      </c>
      <c r="E27" s="16" t="s">
        <v>694</v>
      </c>
      <c r="F27" s="28" t="s">
        <v>268</v>
      </c>
      <c r="G27" s="28" t="n">
        <v>1</v>
      </c>
      <c r="H27" s="28" t="s">
        <v>763</v>
      </c>
      <c r="I27" s="28" t="s">
        <v>744</v>
      </c>
      <c r="J27" s="35" t="s">
        <v>701</v>
      </c>
    </row>
    <row r="28" customFormat="false" ht="43.5" hidden="false" customHeight="true" outlineLevel="0" collapsed="false">
      <c r="A28" s="28" t="s">
        <v>764</v>
      </c>
      <c r="B28" s="28" t="s">
        <v>765</v>
      </c>
      <c r="C28" s="28" t="s">
        <v>349</v>
      </c>
      <c r="D28" s="28" t="s">
        <v>766</v>
      </c>
      <c r="E28" s="16" t="s">
        <v>694</v>
      </c>
      <c r="F28" s="28" t="s">
        <v>268</v>
      </c>
      <c r="G28" s="28" t="n">
        <v>1</v>
      </c>
      <c r="H28" s="28" t="s">
        <v>767</v>
      </c>
      <c r="I28" s="28" t="s">
        <v>744</v>
      </c>
      <c r="J28" s="35" t="s">
        <v>701</v>
      </c>
    </row>
    <row r="29" customFormat="false" ht="43.5" hidden="false" customHeight="true" outlineLevel="0" collapsed="false">
      <c r="A29" s="28" t="s">
        <v>768</v>
      </c>
      <c r="B29" s="28" t="s">
        <v>769</v>
      </c>
      <c r="C29" s="28" t="s">
        <v>349</v>
      </c>
      <c r="D29" s="28" t="s">
        <v>770</v>
      </c>
      <c r="E29" s="16" t="s">
        <v>694</v>
      </c>
      <c r="F29" s="28" t="s">
        <v>268</v>
      </c>
      <c r="G29" s="28" t="n">
        <v>1</v>
      </c>
      <c r="H29" s="28" t="s">
        <v>771</v>
      </c>
      <c r="I29" s="28" t="s">
        <v>744</v>
      </c>
      <c r="J29" s="35" t="s">
        <v>701</v>
      </c>
    </row>
    <row r="30" customFormat="false" ht="43.5" hidden="false" customHeight="true" outlineLevel="0" collapsed="false">
      <c r="A30" s="28" t="s">
        <v>772</v>
      </c>
      <c r="B30" s="28" t="s">
        <v>220</v>
      </c>
      <c r="C30" s="28" t="s">
        <v>662</v>
      </c>
      <c r="D30" s="28" t="s">
        <v>773</v>
      </c>
      <c r="E30" s="21" t="s">
        <v>640</v>
      </c>
      <c r="F30" s="28" t="s">
        <v>664</v>
      </c>
      <c r="G30" s="28" t="n">
        <v>1</v>
      </c>
      <c r="H30" s="28" t="s">
        <v>774</v>
      </c>
      <c r="I30" s="28" t="s">
        <v>775</v>
      </c>
      <c r="J30" s="28" t="s">
        <v>664</v>
      </c>
    </row>
    <row r="31" customFormat="false" ht="43.5" hidden="false" customHeight="true" outlineLevel="0" collapsed="false">
      <c r="A31" s="28" t="s">
        <v>776</v>
      </c>
      <c r="B31" s="28" t="s">
        <v>339</v>
      </c>
      <c r="C31" s="28" t="s">
        <v>340</v>
      </c>
      <c r="D31" s="28" t="s">
        <v>777</v>
      </c>
      <c r="E31" s="21" t="s">
        <v>640</v>
      </c>
      <c r="F31" s="28" t="s">
        <v>664</v>
      </c>
      <c r="G31" s="28" t="n">
        <v>1</v>
      </c>
      <c r="H31" s="28" t="s">
        <v>778</v>
      </c>
      <c r="I31" s="28" t="s">
        <v>779</v>
      </c>
      <c r="J31" s="28" t="s">
        <v>664</v>
      </c>
    </row>
    <row r="32" customFormat="false" ht="43.5" hidden="false" customHeight="true" outlineLevel="0" collapsed="false">
      <c r="A32" s="28" t="s">
        <v>780</v>
      </c>
      <c r="B32" s="28" t="s">
        <v>781</v>
      </c>
      <c r="C32" s="28" t="s">
        <v>349</v>
      </c>
      <c r="D32" s="28" t="s">
        <v>782</v>
      </c>
      <c r="E32" s="16" t="s">
        <v>694</v>
      </c>
      <c r="F32" s="28" t="s">
        <v>268</v>
      </c>
      <c r="G32" s="28" t="n">
        <v>1</v>
      </c>
      <c r="H32" s="28" t="s">
        <v>783</v>
      </c>
      <c r="I32" s="28" t="s">
        <v>744</v>
      </c>
      <c r="J32" s="35" t="s">
        <v>701</v>
      </c>
    </row>
    <row r="34" customFormat="false" ht="15" hidden="false" customHeight="true" outlineLevel="0" collapsed="false">
      <c r="A34" s="6" t="s">
        <v>672</v>
      </c>
    </row>
    <row r="35" customFormat="false" ht="15" hidden="false" customHeight="true" outlineLevel="0" collapsed="false">
      <c r="A35" s="1" t="s">
        <v>673</v>
      </c>
      <c r="B35" s="29" t="n">
        <f aca="false">COUNTA(A5:A32)</f>
        <v>28</v>
      </c>
    </row>
    <row r="36" customFormat="false" ht="15" hidden="false" customHeight="true" outlineLevel="0" collapsed="false">
      <c r="A36" s="1" t="s">
        <v>674</v>
      </c>
      <c r="B36" s="30" t="n">
        <f aca="false">COUNTIF(E5:E32,"REASONING")</f>
        <v>7</v>
      </c>
    </row>
    <row r="37" customFormat="false" ht="15" hidden="false" customHeight="true" outlineLevel="0" collapsed="false">
      <c r="A37" s="1" t="s">
        <v>675</v>
      </c>
      <c r="B37" s="31" t="n">
        <f aca="false">COUNTIF(E5:E32,"FEATURE_DESC")</f>
        <v>21</v>
      </c>
    </row>
    <row r="38" customFormat="false" ht="15" hidden="false" customHeight="true" outlineLevel="0" collapsed="false">
      <c r="A38" s="1" t="s">
        <v>676</v>
      </c>
      <c r="B38" s="32" t="s">
        <v>677</v>
      </c>
    </row>
  </sheetData>
  <mergeCells count="3">
    <mergeCell ref="A1:J1"/>
    <mergeCell ref="A2:J2"/>
    <mergeCell ref="A3:J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3A8A"/>
    <pageSetUpPr fitToPage="false"/>
  </sheetPr>
  <dimension ref="A1:J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2"/>
    <col collapsed="false" customWidth="true" hidden="false" outlineLevel="0" max="3" min="3" style="1" width="14"/>
    <col collapsed="false" customWidth="true" hidden="false" outlineLevel="0" max="4" min="4" style="1" width="22"/>
    <col collapsed="false" customWidth="true" hidden="false" outlineLevel="0" max="5" min="5" style="1" width="14"/>
    <col collapsed="false" customWidth="true" hidden="false" outlineLevel="0" max="7" min="6" style="1" width="12"/>
    <col collapsed="false" customWidth="true" hidden="false" outlineLevel="0" max="8" min="8" style="1" width="38"/>
    <col collapsed="false" customWidth="true" hidden="false" outlineLevel="0" max="9" min="9" style="1" width="44"/>
    <col collapsed="false" customWidth="true" hidden="false" outlineLevel="0" max="10" min="10" style="1" width="18"/>
  </cols>
  <sheetData>
    <row r="1" customFormat="false" ht="27.75" hidden="false" customHeight="true" outlineLevel="0" collapsed="false">
      <c r="A1" s="24" t="s">
        <v>784</v>
      </c>
      <c r="B1" s="24"/>
      <c r="C1" s="24"/>
      <c r="D1" s="24"/>
      <c r="E1" s="24"/>
      <c r="F1" s="24"/>
      <c r="G1" s="24"/>
      <c r="H1" s="24"/>
      <c r="I1" s="24"/>
      <c r="J1" s="24"/>
    </row>
    <row r="2" customFormat="false" ht="15" hidden="false" customHeight="true" outlineLevel="0" collapsed="false">
      <c r="A2" s="25" t="s">
        <v>785</v>
      </c>
      <c r="B2" s="25"/>
      <c r="C2" s="25"/>
      <c r="D2" s="25"/>
      <c r="E2" s="25"/>
      <c r="F2" s="25"/>
      <c r="G2" s="25"/>
      <c r="H2" s="25"/>
      <c r="I2" s="25"/>
      <c r="J2" s="25"/>
    </row>
    <row r="3" customFormat="false" ht="19.5" hidden="false" customHeight="true" outlineLevel="0" collapsed="false">
      <c r="A3" s="36" t="s">
        <v>786</v>
      </c>
      <c r="B3" s="36"/>
      <c r="C3" s="36"/>
      <c r="D3" s="36"/>
      <c r="E3" s="36"/>
      <c r="F3" s="36"/>
      <c r="G3" s="36"/>
      <c r="H3" s="36"/>
      <c r="I3" s="36"/>
      <c r="J3" s="36"/>
    </row>
    <row r="4" customFormat="false" ht="27.75" hidden="false" customHeight="true" outlineLevel="0" collapsed="false">
      <c r="A4" s="37" t="s">
        <v>634</v>
      </c>
      <c r="B4" s="37" t="s">
        <v>321</v>
      </c>
      <c r="C4" s="37" t="s">
        <v>322</v>
      </c>
      <c r="D4" s="37" t="s">
        <v>323</v>
      </c>
      <c r="E4" s="37" t="s">
        <v>635</v>
      </c>
      <c r="F4" s="37" t="s">
        <v>636</v>
      </c>
      <c r="G4" s="37" t="s">
        <v>481</v>
      </c>
      <c r="H4" s="37" t="s">
        <v>637</v>
      </c>
      <c r="I4" s="37" t="s">
        <v>210</v>
      </c>
      <c r="J4" s="37" t="s">
        <v>638</v>
      </c>
    </row>
    <row r="5" customFormat="false" ht="43.5" hidden="false" customHeight="true" outlineLevel="0" collapsed="false">
      <c r="A5" s="28" t="s">
        <v>787</v>
      </c>
      <c r="B5" s="28" t="s">
        <v>226</v>
      </c>
      <c r="C5" s="28" t="s">
        <v>332</v>
      </c>
      <c r="D5" s="28" t="s">
        <v>232</v>
      </c>
      <c r="E5" s="21" t="s">
        <v>640</v>
      </c>
      <c r="F5" s="28" t="s">
        <v>215</v>
      </c>
      <c r="G5" s="28" t="n">
        <v>1</v>
      </c>
      <c r="H5" s="28" t="s">
        <v>788</v>
      </c>
      <c r="I5" s="28" t="s">
        <v>235</v>
      </c>
      <c r="J5" s="28"/>
    </row>
    <row r="6" customFormat="false" ht="43.5" hidden="false" customHeight="true" outlineLevel="0" collapsed="false">
      <c r="A6" s="28" t="s">
        <v>789</v>
      </c>
      <c r="B6" s="28" t="s">
        <v>232</v>
      </c>
      <c r="C6" s="28" t="s">
        <v>334</v>
      </c>
      <c r="D6" s="28" t="s">
        <v>238</v>
      </c>
      <c r="E6" s="21" t="s">
        <v>640</v>
      </c>
      <c r="F6" s="28" t="s">
        <v>215</v>
      </c>
      <c r="G6" s="28" t="n">
        <v>2</v>
      </c>
      <c r="H6" s="28" t="s">
        <v>790</v>
      </c>
      <c r="I6" s="28" t="s">
        <v>241</v>
      </c>
      <c r="J6" s="38" t="s">
        <v>791</v>
      </c>
    </row>
    <row r="7" customFormat="false" ht="43.5" hidden="false" customHeight="true" outlineLevel="0" collapsed="false">
      <c r="A7" s="28" t="s">
        <v>792</v>
      </c>
      <c r="B7" s="28" t="s">
        <v>250</v>
      </c>
      <c r="C7" s="28" t="s">
        <v>337</v>
      </c>
      <c r="D7" s="28" t="s">
        <v>244</v>
      </c>
      <c r="E7" s="21" t="s">
        <v>640</v>
      </c>
      <c r="F7" s="28" t="s">
        <v>793</v>
      </c>
      <c r="G7" s="28" t="n">
        <v>0</v>
      </c>
      <c r="H7" s="28" t="s">
        <v>794</v>
      </c>
      <c r="I7" s="28" t="s">
        <v>247</v>
      </c>
      <c r="J7" s="38" t="s">
        <v>795</v>
      </c>
    </row>
    <row r="8" customFormat="false" ht="43.5" hidden="false" customHeight="true" outlineLevel="0" collapsed="false">
      <c r="A8" s="28" t="s">
        <v>796</v>
      </c>
      <c r="B8" s="28" t="s">
        <v>256</v>
      </c>
      <c r="C8" s="28" t="s">
        <v>337</v>
      </c>
      <c r="D8" s="28" t="s">
        <v>260</v>
      </c>
      <c r="E8" s="21" t="s">
        <v>640</v>
      </c>
      <c r="F8" s="28" t="s">
        <v>793</v>
      </c>
      <c r="G8" s="28" t="n">
        <v>0</v>
      </c>
      <c r="H8" s="28" t="s">
        <v>797</v>
      </c>
      <c r="I8" s="28" t="s">
        <v>343</v>
      </c>
      <c r="J8" s="38" t="s">
        <v>798</v>
      </c>
    </row>
    <row r="9" customFormat="false" ht="43.5" hidden="false" customHeight="true" outlineLevel="0" collapsed="false">
      <c r="A9" s="28" t="s">
        <v>799</v>
      </c>
      <c r="B9" s="28" t="s">
        <v>290</v>
      </c>
      <c r="C9" s="28" t="s">
        <v>328</v>
      </c>
      <c r="D9" s="28" t="s">
        <v>226</v>
      </c>
      <c r="E9" s="21" t="s">
        <v>640</v>
      </c>
      <c r="F9" s="28" t="s">
        <v>793</v>
      </c>
      <c r="G9" s="28" t="n">
        <v>0</v>
      </c>
      <c r="H9" s="28" t="s">
        <v>800</v>
      </c>
      <c r="I9" s="28" t="s">
        <v>229</v>
      </c>
      <c r="J9" s="38" t="s">
        <v>801</v>
      </c>
    </row>
    <row r="11" customFormat="false" ht="15" hidden="false" customHeight="true" outlineLevel="0" collapsed="false">
      <c r="A11" s="6" t="s">
        <v>672</v>
      </c>
    </row>
    <row r="12" customFormat="false" ht="15" hidden="false" customHeight="true" outlineLevel="0" collapsed="false">
      <c r="A12" s="1" t="s">
        <v>673</v>
      </c>
      <c r="B12" s="29" t="n">
        <f aca="false">COUNTA(A5:A9)</f>
        <v>5</v>
      </c>
    </row>
    <row r="13" customFormat="false" ht="15" hidden="false" customHeight="true" outlineLevel="0" collapsed="false">
      <c r="A13" s="1" t="s">
        <v>674</v>
      </c>
      <c r="B13" s="30" t="n">
        <f aca="false">COUNTIF(E5:E9,"REASONING")</f>
        <v>5</v>
      </c>
    </row>
    <row r="14" customFormat="false" ht="15" hidden="false" customHeight="true" outlineLevel="0" collapsed="false">
      <c r="A14" s="1" t="s">
        <v>675</v>
      </c>
      <c r="B14" s="31" t="n">
        <f aca="false">COUNTIF(E5:E9,"FEATURE_DESC")</f>
        <v>0</v>
      </c>
    </row>
    <row r="15" customFormat="false" ht="15" hidden="false" customHeight="true" outlineLevel="0" collapsed="false">
      <c r="A15" s="1" t="s">
        <v>676</v>
      </c>
      <c r="B15" s="32" t="s">
        <v>677</v>
      </c>
    </row>
  </sheetData>
  <mergeCells count="3">
    <mergeCell ref="A1:J1"/>
    <mergeCell ref="A2:J2"/>
    <mergeCell ref="A3:J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5F3A"/>
    <pageSetUpPr fitToPage="false"/>
  </sheetPr>
  <dimension ref="A1:J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2"/>
    <col collapsed="false" customWidth="true" hidden="false" outlineLevel="0" max="3" min="3" style="1" width="14"/>
    <col collapsed="false" customWidth="true" hidden="false" outlineLevel="0" max="4" min="4" style="1" width="22"/>
    <col collapsed="false" customWidth="true" hidden="false" outlineLevel="0" max="5" min="5" style="1" width="14"/>
    <col collapsed="false" customWidth="true" hidden="false" outlineLevel="0" max="7" min="6" style="1" width="12"/>
    <col collapsed="false" customWidth="true" hidden="false" outlineLevel="0" max="8" min="8" style="1" width="38"/>
    <col collapsed="false" customWidth="true" hidden="false" outlineLevel="0" max="9" min="9" style="1" width="44"/>
    <col collapsed="false" customWidth="true" hidden="false" outlineLevel="0" max="10" min="10" style="1" width="18"/>
  </cols>
  <sheetData>
    <row r="1" customFormat="false" ht="27.75" hidden="false" customHeight="true" outlineLevel="0" collapsed="false">
      <c r="A1" s="24" t="s">
        <v>802</v>
      </c>
      <c r="B1" s="24"/>
      <c r="C1" s="24"/>
      <c r="D1" s="24"/>
      <c r="E1" s="24"/>
      <c r="F1" s="24"/>
      <c r="G1" s="24"/>
      <c r="H1" s="24"/>
      <c r="I1" s="24"/>
      <c r="J1" s="24"/>
    </row>
    <row r="2" customFormat="false" ht="15" hidden="false" customHeight="true" outlineLevel="0" collapsed="false">
      <c r="A2" s="25" t="s">
        <v>803</v>
      </c>
      <c r="B2" s="25"/>
      <c r="C2" s="25"/>
      <c r="D2" s="25"/>
      <c r="E2" s="25"/>
      <c r="F2" s="25"/>
      <c r="G2" s="25"/>
      <c r="H2" s="25"/>
      <c r="I2" s="25"/>
      <c r="J2" s="25"/>
    </row>
    <row r="3" customFormat="false" ht="19.5" hidden="false" customHeight="true" outlineLevel="0" collapsed="false">
      <c r="A3" s="26" t="s">
        <v>633</v>
      </c>
      <c r="B3" s="26"/>
      <c r="C3" s="26"/>
      <c r="D3" s="26"/>
      <c r="E3" s="26"/>
      <c r="F3" s="26"/>
      <c r="G3" s="26"/>
      <c r="H3" s="26"/>
      <c r="I3" s="26"/>
      <c r="J3" s="26"/>
    </row>
    <row r="4" customFormat="false" ht="27.75" hidden="false" customHeight="true" outlineLevel="0" collapsed="false">
      <c r="A4" s="27" t="s">
        <v>634</v>
      </c>
      <c r="B4" s="27" t="s">
        <v>321</v>
      </c>
      <c r="C4" s="27" t="s">
        <v>322</v>
      </c>
      <c r="D4" s="27" t="s">
        <v>323</v>
      </c>
      <c r="E4" s="27" t="s">
        <v>635</v>
      </c>
      <c r="F4" s="27" t="s">
        <v>636</v>
      </c>
      <c r="G4" s="27" t="s">
        <v>481</v>
      </c>
      <c r="H4" s="27" t="s">
        <v>637</v>
      </c>
      <c r="I4" s="27" t="s">
        <v>210</v>
      </c>
      <c r="J4" s="27" t="s">
        <v>638</v>
      </c>
    </row>
    <row r="5" customFormat="false" ht="43.5" hidden="false" customHeight="true" outlineLevel="0" collapsed="false">
      <c r="A5" s="28" t="s">
        <v>804</v>
      </c>
      <c r="B5" s="28" t="s">
        <v>377</v>
      </c>
      <c r="C5" s="28" t="s">
        <v>483</v>
      </c>
      <c r="D5" s="28" t="s">
        <v>383</v>
      </c>
      <c r="E5" s="21" t="s">
        <v>640</v>
      </c>
      <c r="F5" s="28" t="s">
        <v>215</v>
      </c>
      <c r="G5" s="28" t="n">
        <v>1</v>
      </c>
      <c r="H5" s="28" t="s">
        <v>805</v>
      </c>
      <c r="I5" s="28" t="s">
        <v>380</v>
      </c>
      <c r="J5" s="28"/>
    </row>
    <row r="6" customFormat="false" ht="43.5" hidden="false" customHeight="true" outlineLevel="0" collapsed="false">
      <c r="A6" s="28" t="s">
        <v>806</v>
      </c>
      <c r="B6" s="28" t="s">
        <v>383</v>
      </c>
      <c r="C6" s="28" t="s">
        <v>488</v>
      </c>
      <c r="D6" s="28" t="s">
        <v>388</v>
      </c>
      <c r="E6" s="21" t="s">
        <v>640</v>
      </c>
      <c r="F6" s="28" t="s">
        <v>215</v>
      </c>
      <c r="G6" s="28" t="n">
        <v>2</v>
      </c>
      <c r="H6" s="28" t="s">
        <v>807</v>
      </c>
      <c r="I6" s="28" t="s">
        <v>385</v>
      </c>
      <c r="J6" s="28"/>
    </row>
    <row r="7" customFormat="false" ht="43.5" hidden="false" customHeight="true" outlineLevel="0" collapsed="false">
      <c r="A7" s="28" t="s">
        <v>808</v>
      </c>
      <c r="B7" s="28" t="s">
        <v>388</v>
      </c>
      <c r="C7" s="28" t="s">
        <v>490</v>
      </c>
      <c r="D7" s="28" t="s">
        <v>393</v>
      </c>
      <c r="E7" s="21" t="s">
        <v>640</v>
      </c>
      <c r="F7" s="28" t="s">
        <v>215</v>
      </c>
      <c r="G7" s="28" t="n">
        <v>3</v>
      </c>
      <c r="H7" s="28" t="s">
        <v>809</v>
      </c>
      <c r="I7" s="28" t="s">
        <v>390</v>
      </c>
      <c r="J7" s="28"/>
    </row>
    <row r="8" customFormat="false" ht="43.5" hidden="false" customHeight="true" outlineLevel="0" collapsed="false">
      <c r="A8" s="28" t="s">
        <v>810</v>
      </c>
      <c r="B8" s="28" t="s">
        <v>393</v>
      </c>
      <c r="C8" s="28" t="s">
        <v>492</v>
      </c>
      <c r="D8" s="28" t="s">
        <v>399</v>
      </c>
      <c r="E8" s="21" t="s">
        <v>640</v>
      </c>
      <c r="F8" s="28" t="s">
        <v>215</v>
      </c>
      <c r="G8" s="28" t="n">
        <v>4</v>
      </c>
      <c r="H8" s="28" t="s">
        <v>811</v>
      </c>
      <c r="I8" s="28" t="s">
        <v>396</v>
      </c>
      <c r="J8" s="28"/>
    </row>
    <row r="9" customFormat="false" ht="43.5" hidden="false" customHeight="true" outlineLevel="0" collapsed="false">
      <c r="A9" s="28" t="s">
        <v>812</v>
      </c>
      <c r="B9" s="28" t="s">
        <v>399</v>
      </c>
      <c r="C9" s="28" t="s">
        <v>494</v>
      </c>
      <c r="D9" s="28" t="s">
        <v>495</v>
      </c>
      <c r="E9" s="21" t="s">
        <v>640</v>
      </c>
      <c r="F9" s="28" t="s">
        <v>215</v>
      </c>
      <c r="G9" s="28" t="n">
        <v>5</v>
      </c>
      <c r="H9" s="28" t="s">
        <v>813</v>
      </c>
      <c r="I9" s="28" t="s">
        <v>402</v>
      </c>
      <c r="J9" s="28"/>
    </row>
    <row r="10" customFormat="false" ht="43.5" hidden="false" customHeight="true" outlineLevel="0" collapsed="false">
      <c r="A10" s="28" t="s">
        <v>814</v>
      </c>
      <c r="B10" s="28" t="s">
        <v>495</v>
      </c>
      <c r="C10" s="28" t="s">
        <v>815</v>
      </c>
      <c r="D10" s="28" t="s">
        <v>410</v>
      </c>
      <c r="E10" s="21" t="s">
        <v>640</v>
      </c>
      <c r="F10" s="28" t="s">
        <v>215</v>
      </c>
      <c r="G10" s="28" t="n">
        <v>6</v>
      </c>
      <c r="H10" s="28" t="s">
        <v>816</v>
      </c>
      <c r="I10" s="28" t="s">
        <v>498</v>
      </c>
      <c r="J10" s="28"/>
    </row>
    <row r="11" customFormat="false" ht="43.5" hidden="false" customHeight="true" outlineLevel="0" collapsed="false">
      <c r="A11" s="28" t="s">
        <v>817</v>
      </c>
      <c r="B11" s="28" t="s">
        <v>377</v>
      </c>
      <c r="C11" s="28" t="s">
        <v>497</v>
      </c>
      <c r="D11" s="28" t="s">
        <v>410</v>
      </c>
      <c r="E11" s="21" t="s">
        <v>640</v>
      </c>
      <c r="F11" s="28" t="s">
        <v>215</v>
      </c>
      <c r="G11" s="28" t="n">
        <v>7</v>
      </c>
      <c r="H11" s="28" t="s">
        <v>818</v>
      </c>
      <c r="I11" s="28" t="s">
        <v>819</v>
      </c>
      <c r="J11" s="28" t="s">
        <v>820</v>
      </c>
    </row>
    <row r="12" customFormat="false" ht="43.5" hidden="false" customHeight="true" outlineLevel="0" collapsed="false">
      <c r="A12" s="28" t="s">
        <v>821</v>
      </c>
      <c r="B12" s="28" t="s">
        <v>415</v>
      </c>
      <c r="C12" s="28" t="s">
        <v>349</v>
      </c>
      <c r="D12" s="28" t="s">
        <v>421</v>
      </c>
      <c r="E12" s="21" t="s">
        <v>640</v>
      </c>
      <c r="F12" s="28" t="s">
        <v>215</v>
      </c>
      <c r="G12" s="28" t="n">
        <v>1</v>
      </c>
      <c r="H12" s="28" t="s">
        <v>822</v>
      </c>
      <c r="I12" s="28" t="s">
        <v>418</v>
      </c>
      <c r="J12" s="28"/>
    </row>
    <row r="13" customFormat="false" ht="43.5" hidden="false" customHeight="true" outlineLevel="0" collapsed="false">
      <c r="A13" s="28" t="s">
        <v>823</v>
      </c>
      <c r="B13" s="28" t="s">
        <v>421</v>
      </c>
      <c r="C13" s="28" t="s">
        <v>349</v>
      </c>
      <c r="D13" s="28" t="s">
        <v>426</v>
      </c>
      <c r="E13" s="21" t="s">
        <v>640</v>
      </c>
      <c r="F13" s="28" t="s">
        <v>215</v>
      </c>
      <c r="G13" s="28" t="n">
        <v>2</v>
      </c>
      <c r="H13" s="28" t="s">
        <v>824</v>
      </c>
      <c r="I13" s="28" t="s">
        <v>825</v>
      </c>
      <c r="J13" s="28"/>
    </row>
    <row r="14" customFormat="false" ht="43.5" hidden="false" customHeight="true" outlineLevel="0" collapsed="false">
      <c r="A14" s="28" t="s">
        <v>826</v>
      </c>
      <c r="B14" s="28" t="s">
        <v>426</v>
      </c>
      <c r="C14" s="28" t="s">
        <v>356</v>
      </c>
      <c r="D14" s="28" t="s">
        <v>431</v>
      </c>
      <c r="E14" s="21" t="s">
        <v>640</v>
      </c>
      <c r="F14" s="28" t="s">
        <v>215</v>
      </c>
      <c r="G14" s="28" t="n">
        <v>3</v>
      </c>
      <c r="H14" s="28" t="s">
        <v>827</v>
      </c>
      <c r="I14" s="28" t="s">
        <v>433</v>
      </c>
      <c r="J14" s="28"/>
    </row>
    <row r="15" customFormat="false" ht="43.5" hidden="false" customHeight="true" outlineLevel="0" collapsed="false">
      <c r="A15" s="28" t="s">
        <v>828</v>
      </c>
      <c r="B15" s="28" t="s">
        <v>436</v>
      </c>
      <c r="C15" s="28" t="s">
        <v>516</v>
      </c>
      <c r="D15" s="28" t="s">
        <v>829</v>
      </c>
      <c r="E15" s="21" t="s">
        <v>640</v>
      </c>
      <c r="F15" s="28" t="s">
        <v>215</v>
      </c>
      <c r="G15" s="28" t="n">
        <v>1</v>
      </c>
      <c r="H15" s="28" t="s">
        <v>830</v>
      </c>
      <c r="I15" s="28" t="s">
        <v>831</v>
      </c>
      <c r="J15" s="28"/>
    </row>
    <row r="16" customFormat="false" ht="43.5" hidden="false" customHeight="true" outlineLevel="0" collapsed="false">
      <c r="A16" s="28" t="s">
        <v>832</v>
      </c>
      <c r="B16" s="28" t="s">
        <v>829</v>
      </c>
      <c r="C16" s="28" t="s">
        <v>349</v>
      </c>
      <c r="D16" s="28" t="s">
        <v>399</v>
      </c>
      <c r="E16" s="21" t="s">
        <v>640</v>
      </c>
      <c r="F16" s="28" t="s">
        <v>215</v>
      </c>
      <c r="G16" s="28" t="n">
        <v>2</v>
      </c>
      <c r="H16" s="28" t="s">
        <v>833</v>
      </c>
      <c r="I16" s="28" t="s">
        <v>521</v>
      </c>
      <c r="J16" s="28"/>
    </row>
    <row r="17" customFormat="false" ht="43.5" hidden="false" customHeight="true" outlineLevel="0" collapsed="false">
      <c r="A17" s="28" t="s">
        <v>834</v>
      </c>
      <c r="B17" s="28" t="s">
        <v>506</v>
      </c>
      <c r="C17" s="28" t="s">
        <v>507</v>
      </c>
      <c r="D17" s="28" t="s">
        <v>835</v>
      </c>
      <c r="E17" s="21" t="s">
        <v>640</v>
      </c>
      <c r="F17" s="28" t="s">
        <v>215</v>
      </c>
      <c r="G17" s="28" t="n">
        <v>1</v>
      </c>
      <c r="H17" s="28" t="s">
        <v>836</v>
      </c>
      <c r="I17" s="28" t="s">
        <v>456</v>
      </c>
      <c r="J17" s="28"/>
    </row>
    <row r="18" customFormat="false" ht="43.5" hidden="false" customHeight="true" outlineLevel="0" collapsed="false">
      <c r="A18" s="28" t="s">
        <v>837</v>
      </c>
      <c r="B18" s="28" t="s">
        <v>838</v>
      </c>
      <c r="C18" s="28" t="s">
        <v>507</v>
      </c>
      <c r="D18" s="28" t="s">
        <v>839</v>
      </c>
      <c r="E18" s="21" t="s">
        <v>640</v>
      </c>
      <c r="F18" s="28" t="s">
        <v>215</v>
      </c>
      <c r="G18" s="28" t="n">
        <v>1</v>
      </c>
      <c r="H18" s="28" t="s">
        <v>840</v>
      </c>
      <c r="I18" s="28" t="s">
        <v>461</v>
      </c>
      <c r="J18" s="28"/>
    </row>
    <row r="19" customFormat="false" ht="43.5" hidden="false" customHeight="true" outlineLevel="0" collapsed="false">
      <c r="A19" s="28" t="s">
        <v>841</v>
      </c>
      <c r="B19" s="28" t="s">
        <v>842</v>
      </c>
      <c r="C19" s="28" t="s">
        <v>524</v>
      </c>
      <c r="D19" s="28" t="s">
        <v>441</v>
      </c>
      <c r="E19" s="21" t="s">
        <v>640</v>
      </c>
      <c r="F19" s="28" t="s">
        <v>215</v>
      </c>
      <c r="G19" s="28" t="n">
        <v>1</v>
      </c>
      <c r="H19" s="28" t="s">
        <v>843</v>
      </c>
      <c r="I19" s="28" t="s">
        <v>526</v>
      </c>
      <c r="J19" s="28"/>
    </row>
    <row r="20" customFormat="false" ht="43.5" hidden="false" customHeight="true" outlineLevel="0" collapsed="false">
      <c r="A20" s="28" t="s">
        <v>844</v>
      </c>
      <c r="B20" s="28" t="s">
        <v>464</v>
      </c>
      <c r="C20" s="28" t="s">
        <v>513</v>
      </c>
      <c r="D20" s="28" t="s">
        <v>845</v>
      </c>
      <c r="E20" s="21" t="s">
        <v>640</v>
      </c>
      <c r="F20" s="28" t="s">
        <v>215</v>
      </c>
      <c r="G20" s="28" t="n">
        <v>1</v>
      </c>
      <c r="H20" s="28" t="s">
        <v>846</v>
      </c>
      <c r="I20" s="28" t="s">
        <v>467</v>
      </c>
      <c r="J20" s="28"/>
    </row>
    <row r="21" customFormat="false" ht="43.5" hidden="false" customHeight="true" outlineLevel="0" collapsed="false">
      <c r="A21" s="28" t="s">
        <v>847</v>
      </c>
      <c r="B21" s="28" t="s">
        <v>848</v>
      </c>
      <c r="C21" s="28" t="s">
        <v>349</v>
      </c>
      <c r="D21" s="28" t="s">
        <v>849</v>
      </c>
      <c r="E21" s="21" t="s">
        <v>640</v>
      </c>
      <c r="F21" s="28" t="s">
        <v>215</v>
      </c>
      <c r="G21" s="28" t="n">
        <v>1</v>
      </c>
      <c r="H21" s="28" t="s">
        <v>850</v>
      </c>
      <c r="I21" s="28" t="s">
        <v>851</v>
      </c>
      <c r="J21" s="28"/>
    </row>
    <row r="22" customFormat="false" ht="43.5" hidden="false" customHeight="true" outlineLevel="0" collapsed="false">
      <c r="A22" s="28" t="s">
        <v>852</v>
      </c>
      <c r="B22" s="28" t="s">
        <v>849</v>
      </c>
      <c r="C22" s="28" t="s">
        <v>494</v>
      </c>
      <c r="D22" s="28" t="s">
        <v>853</v>
      </c>
      <c r="E22" s="21" t="s">
        <v>640</v>
      </c>
      <c r="F22" s="28" t="s">
        <v>215</v>
      </c>
      <c r="G22" s="28" t="n">
        <v>2</v>
      </c>
      <c r="H22" s="28" t="s">
        <v>854</v>
      </c>
      <c r="I22" s="28" t="s">
        <v>855</v>
      </c>
      <c r="J22" s="28"/>
    </row>
    <row r="24" customFormat="false" ht="15" hidden="false" customHeight="true" outlineLevel="0" collapsed="false">
      <c r="A24" s="6" t="s">
        <v>672</v>
      </c>
    </row>
    <row r="25" customFormat="false" ht="15" hidden="false" customHeight="true" outlineLevel="0" collapsed="false">
      <c r="A25" s="1" t="s">
        <v>673</v>
      </c>
      <c r="B25" s="29" t="n">
        <f aca="false">COUNTA(A5:A22)</f>
        <v>18</v>
      </c>
    </row>
    <row r="26" customFormat="false" ht="15" hidden="false" customHeight="true" outlineLevel="0" collapsed="false">
      <c r="A26" s="1" t="s">
        <v>674</v>
      </c>
      <c r="B26" s="30" t="n">
        <f aca="false">COUNTIF(E5:E22,"REASONING")</f>
        <v>18</v>
      </c>
    </row>
    <row r="27" customFormat="false" ht="15" hidden="false" customHeight="true" outlineLevel="0" collapsed="false">
      <c r="A27" s="1" t="s">
        <v>675</v>
      </c>
      <c r="B27" s="31" t="n">
        <f aca="false">COUNTIF(E5:E22,"FEATURE_DESC")</f>
        <v>0</v>
      </c>
    </row>
    <row r="28" customFormat="false" ht="15" hidden="false" customHeight="true" outlineLevel="0" collapsed="false">
      <c r="A28" s="1" t="s">
        <v>676</v>
      </c>
      <c r="B28" s="32" t="s">
        <v>856</v>
      </c>
    </row>
  </sheetData>
  <mergeCells count="3">
    <mergeCell ref="A1:J1"/>
    <mergeCell ref="A2:J2"/>
    <mergeCell ref="A3:J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C2D12"/>
    <pageSetUpPr fitToPage="false"/>
  </sheetPr>
  <dimension ref="A1:J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2"/>
    <col collapsed="false" customWidth="true" hidden="false" outlineLevel="0" max="3" min="3" style="1" width="14"/>
    <col collapsed="false" customWidth="true" hidden="false" outlineLevel="0" max="4" min="4" style="1" width="22"/>
    <col collapsed="false" customWidth="true" hidden="false" outlineLevel="0" max="5" min="5" style="1" width="14"/>
    <col collapsed="false" customWidth="true" hidden="false" outlineLevel="0" max="7" min="6" style="1" width="12"/>
    <col collapsed="false" customWidth="true" hidden="false" outlineLevel="0" max="8" min="8" style="1" width="38"/>
    <col collapsed="false" customWidth="true" hidden="false" outlineLevel="0" max="9" min="9" style="1" width="44"/>
    <col collapsed="false" customWidth="true" hidden="false" outlineLevel="0" max="10" min="10" style="1" width="18"/>
  </cols>
  <sheetData>
    <row r="1" customFormat="false" ht="27.75" hidden="false" customHeight="true" outlineLevel="0" collapsed="false">
      <c r="A1" s="24" t="s">
        <v>857</v>
      </c>
      <c r="B1" s="24"/>
      <c r="C1" s="24"/>
      <c r="D1" s="24"/>
      <c r="E1" s="24"/>
      <c r="F1" s="24"/>
      <c r="G1" s="24"/>
      <c r="H1" s="24"/>
      <c r="I1" s="24"/>
      <c r="J1" s="24"/>
    </row>
    <row r="2" customFormat="false" ht="15" hidden="false" customHeight="true" outlineLevel="0" collapsed="false">
      <c r="A2" s="25" t="s">
        <v>858</v>
      </c>
      <c r="B2" s="25"/>
      <c r="C2" s="25"/>
      <c r="D2" s="25"/>
      <c r="E2" s="25"/>
      <c r="F2" s="25"/>
      <c r="G2" s="25"/>
      <c r="H2" s="25"/>
      <c r="I2" s="25"/>
      <c r="J2" s="25"/>
    </row>
    <row r="3" customFormat="false" ht="19.5" hidden="false" customHeight="true" outlineLevel="0" collapsed="false">
      <c r="A3" s="33" t="s">
        <v>680</v>
      </c>
      <c r="B3" s="33"/>
      <c r="C3" s="33"/>
      <c r="D3" s="33"/>
      <c r="E3" s="33"/>
      <c r="F3" s="33"/>
      <c r="G3" s="33"/>
      <c r="H3" s="33"/>
      <c r="I3" s="33"/>
      <c r="J3" s="33"/>
    </row>
    <row r="4" customFormat="false" ht="27.75" hidden="false" customHeight="true" outlineLevel="0" collapsed="false">
      <c r="A4" s="34" t="s">
        <v>634</v>
      </c>
      <c r="B4" s="34" t="s">
        <v>321</v>
      </c>
      <c r="C4" s="34" t="s">
        <v>322</v>
      </c>
      <c r="D4" s="34" t="s">
        <v>323</v>
      </c>
      <c r="E4" s="34" t="s">
        <v>635</v>
      </c>
      <c r="F4" s="34" t="s">
        <v>636</v>
      </c>
      <c r="G4" s="34" t="s">
        <v>481</v>
      </c>
      <c r="H4" s="34" t="s">
        <v>637</v>
      </c>
      <c r="I4" s="34" t="s">
        <v>210</v>
      </c>
      <c r="J4" s="34" t="s">
        <v>638</v>
      </c>
    </row>
    <row r="5" customFormat="false" ht="43.5" hidden="false" customHeight="true" outlineLevel="0" collapsed="false">
      <c r="A5" s="28" t="s">
        <v>859</v>
      </c>
      <c r="B5" s="28" t="s">
        <v>377</v>
      </c>
      <c r="C5" s="28" t="s">
        <v>483</v>
      </c>
      <c r="D5" s="28" t="s">
        <v>383</v>
      </c>
      <c r="E5" s="21" t="s">
        <v>640</v>
      </c>
      <c r="F5" s="28" t="s">
        <v>215</v>
      </c>
      <c r="G5" s="28" t="n">
        <v>1</v>
      </c>
      <c r="H5" s="28" t="s">
        <v>805</v>
      </c>
      <c r="I5" s="28" t="s">
        <v>380</v>
      </c>
      <c r="J5" s="28"/>
    </row>
    <row r="6" customFormat="false" ht="43.5" hidden="false" customHeight="true" outlineLevel="0" collapsed="false">
      <c r="A6" s="28" t="s">
        <v>860</v>
      </c>
      <c r="B6" s="28" t="s">
        <v>383</v>
      </c>
      <c r="C6" s="28" t="s">
        <v>488</v>
      </c>
      <c r="D6" s="28" t="s">
        <v>388</v>
      </c>
      <c r="E6" s="21" t="s">
        <v>640</v>
      </c>
      <c r="F6" s="28" t="s">
        <v>215</v>
      </c>
      <c r="G6" s="28" t="n">
        <v>2</v>
      </c>
      <c r="H6" s="28" t="s">
        <v>807</v>
      </c>
      <c r="I6" s="28" t="s">
        <v>385</v>
      </c>
      <c r="J6" s="28"/>
    </row>
    <row r="7" customFormat="false" ht="43.5" hidden="false" customHeight="true" outlineLevel="0" collapsed="false">
      <c r="A7" s="28" t="s">
        <v>861</v>
      </c>
      <c r="B7" s="28" t="s">
        <v>388</v>
      </c>
      <c r="C7" s="28" t="s">
        <v>490</v>
      </c>
      <c r="D7" s="28" t="s">
        <v>393</v>
      </c>
      <c r="E7" s="21" t="s">
        <v>640</v>
      </c>
      <c r="F7" s="28" t="s">
        <v>215</v>
      </c>
      <c r="G7" s="28" t="n">
        <v>3</v>
      </c>
      <c r="H7" s="28" t="s">
        <v>809</v>
      </c>
      <c r="I7" s="28" t="s">
        <v>390</v>
      </c>
      <c r="J7" s="28"/>
    </row>
    <row r="8" customFormat="false" ht="43.5" hidden="false" customHeight="true" outlineLevel="0" collapsed="false">
      <c r="A8" s="28" t="s">
        <v>862</v>
      </c>
      <c r="B8" s="28" t="s">
        <v>393</v>
      </c>
      <c r="C8" s="28" t="s">
        <v>492</v>
      </c>
      <c r="D8" s="28" t="s">
        <v>399</v>
      </c>
      <c r="E8" s="21" t="s">
        <v>640</v>
      </c>
      <c r="F8" s="28" t="s">
        <v>215</v>
      </c>
      <c r="G8" s="28" t="n">
        <v>4</v>
      </c>
      <c r="H8" s="28" t="s">
        <v>811</v>
      </c>
      <c r="I8" s="28" t="s">
        <v>396</v>
      </c>
      <c r="J8" s="28"/>
    </row>
    <row r="9" customFormat="false" ht="43.5" hidden="false" customHeight="true" outlineLevel="0" collapsed="false">
      <c r="A9" s="28" t="s">
        <v>863</v>
      </c>
      <c r="B9" s="28" t="s">
        <v>399</v>
      </c>
      <c r="C9" s="28" t="s">
        <v>494</v>
      </c>
      <c r="D9" s="28" t="s">
        <v>495</v>
      </c>
      <c r="E9" s="21" t="s">
        <v>640</v>
      </c>
      <c r="F9" s="28" t="s">
        <v>215</v>
      </c>
      <c r="G9" s="28" t="n">
        <v>5</v>
      </c>
      <c r="H9" s="28" t="s">
        <v>813</v>
      </c>
      <c r="I9" s="28" t="s">
        <v>402</v>
      </c>
      <c r="J9" s="28"/>
    </row>
    <row r="10" customFormat="false" ht="43.5" hidden="false" customHeight="true" outlineLevel="0" collapsed="false">
      <c r="A10" s="28" t="s">
        <v>864</v>
      </c>
      <c r="B10" s="28" t="s">
        <v>495</v>
      </c>
      <c r="C10" s="28" t="s">
        <v>815</v>
      </c>
      <c r="D10" s="28" t="s">
        <v>410</v>
      </c>
      <c r="E10" s="21" t="s">
        <v>640</v>
      </c>
      <c r="F10" s="28" t="s">
        <v>215</v>
      </c>
      <c r="G10" s="28" t="n">
        <v>6</v>
      </c>
      <c r="H10" s="28" t="s">
        <v>816</v>
      </c>
      <c r="I10" s="28" t="s">
        <v>498</v>
      </c>
      <c r="J10" s="28"/>
    </row>
    <row r="11" customFormat="false" ht="43.5" hidden="false" customHeight="true" outlineLevel="0" collapsed="false">
      <c r="A11" s="28" t="s">
        <v>865</v>
      </c>
      <c r="B11" s="28" t="s">
        <v>377</v>
      </c>
      <c r="C11" s="28" t="s">
        <v>497</v>
      </c>
      <c r="D11" s="28" t="s">
        <v>410</v>
      </c>
      <c r="E11" s="21" t="s">
        <v>640</v>
      </c>
      <c r="F11" s="28" t="s">
        <v>215</v>
      </c>
      <c r="G11" s="28" t="n">
        <v>7</v>
      </c>
      <c r="H11" s="28" t="s">
        <v>818</v>
      </c>
      <c r="I11" s="28" t="s">
        <v>819</v>
      </c>
      <c r="J11" s="28" t="s">
        <v>820</v>
      </c>
    </row>
    <row r="12" customFormat="false" ht="43.5" hidden="false" customHeight="true" outlineLevel="0" collapsed="false">
      <c r="A12" s="28" t="s">
        <v>866</v>
      </c>
      <c r="B12" s="28" t="s">
        <v>415</v>
      </c>
      <c r="C12" s="28" t="s">
        <v>349</v>
      </c>
      <c r="D12" s="28" t="s">
        <v>421</v>
      </c>
      <c r="E12" s="21" t="s">
        <v>640</v>
      </c>
      <c r="F12" s="28" t="s">
        <v>215</v>
      </c>
      <c r="G12" s="28" t="n">
        <v>1</v>
      </c>
      <c r="H12" s="28" t="s">
        <v>822</v>
      </c>
      <c r="I12" s="28" t="s">
        <v>418</v>
      </c>
      <c r="J12" s="28"/>
    </row>
    <row r="13" customFormat="false" ht="43.5" hidden="false" customHeight="true" outlineLevel="0" collapsed="false">
      <c r="A13" s="28" t="s">
        <v>867</v>
      </c>
      <c r="B13" s="28" t="s">
        <v>421</v>
      </c>
      <c r="C13" s="28" t="s">
        <v>349</v>
      </c>
      <c r="D13" s="28" t="s">
        <v>426</v>
      </c>
      <c r="E13" s="21" t="s">
        <v>640</v>
      </c>
      <c r="F13" s="28" t="s">
        <v>215</v>
      </c>
      <c r="G13" s="28" t="n">
        <v>2</v>
      </c>
      <c r="H13" s="28" t="s">
        <v>824</v>
      </c>
      <c r="I13" s="28" t="s">
        <v>825</v>
      </c>
      <c r="J13" s="28"/>
    </row>
    <row r="14" customFormat="false" ht="43.5" hidden="false" customHeight="true" outlineLevel="0" collapsed="false">
      <c r="A14" s="28" t="s">
        <v>868</v>
      </c>
      <c r="B14" s="28" t="s">
        <v>426</v>
      </c>
      <c r="C14" s="28" t="s">
        <v>356</v>
      </c>
      <c r="D14" s="28" t="s">
        <v>431</v>
      </c>
      <c r="E14" s="21" t="s">
        <v>640</v>
      </c>
      <c r="F14" s="28" t="s">
        <v>215</v>
      </c>
      <c r="G14" s="28" t="n">
        <v>3</v>
      </c>
      <c r="H14" s="28" t="s">
        <v>827</v>
      </c>
      <c r="I14" s="28" t="s">
        <v>433</v>
      </c>
      <c r="J14" s="28"/>
    </row>
    <row r="15" customFormat="false" ht="43.5" hidden="false" customHeight="true" outlineLevel="0" collapsed="false">
      <c r="A15" s="28" t="s">
        <v>869</v>
      </c>
      <c r="B15" s="28" t="s">
        <v>436</v>
      </c>
      <c r="C15" s="28" t="s">
        <v>516</v>
      </c>
      <c r="D15" s="28" t="s">
        <v>829</v>
      </c>
      <c r="E15" s="21" t="s">
        <v>640</v>
      </c>
      <c r="F15" s="28" t="s">
        <v>215</v>
      </c>
      <c r="G15" s="28" t="n">
        <v>1</v>
      </c>
      <c r="H15" s="28" t="s">
        <v>830</v>
      </c>
      <c r="I15" s="28" t="s">
        <v>831</v>
      </c>
      <c r="J15" s="28"/>
    </row>
    <row r="16" customFormat="false" ht="43.5" hidden="false" customHeight="true" outlineLevel="0" collapsed="false">
      <c r="A16" s="28" t="s">
        <v>870</v>
      </c>
      <c r="B16" s="28" t="s">
        <v>829</v>
      </c>
      <c r="C16" s="28" t="s">
        <v>349</v>
      </c>
      <c r="D16" s="28" t="s">
        <v>399</v>
      </c>
      <c r="E16" s="21" t="s">
        <v>640</v>
      </c>
      <c r="F16" s="28" t="s">
        <v>215</v>
      </c>
      <c r="G16" s="28" t="n">
        <v>2</v>
      </c>
      <c r="H16" s="28" t="s">
        <v>833</v>
      </c>
      <c r="I16" s="28" t="s">
        <v>521</v>
      </c>
      <c r="J16" s="28"/>
    </row>
    <row r="17" customFormat="false" ht="43.5" hidden="false" customHeight="true" outlineLevel="0" collapsed="false">
      <c r="A17" s="28" t="s">
        <v>871</v>
      </c>
      <c r="B17" s="28" t="s">
        <v>506</v>
      </c>
      <c r="C17" s="28" t="s">
        <v>507</v>
      </c>
      <c r="D17" s="28" t="s">
        <v>835</v>
      </c>
      <c r="E17" s="21" t="s">
        <v>640</v>
      </c>
      <c r="F17" s="28" t="s">
        <v>215</v>
      </c>
      <c r="G17" s="28" t="n">
        <v>1</v>
      </c>
      <c r="H17" s="28" t="s">
        <v>836</v>
      </c>
      <c r="I17" s="28" t="s">
        <v>456</v>
      </c>
      <c r="J17" s="28"/>
    </row>
    <row r="18" customFormat="false" ht="43.5" hidden="false" customHeight="true" outlineLevel="0" collapsed="false">
      <c r="A18" s="28" t="s">
        <v>872</v>
      </c>
      <c r="B18" s="28" t="s">
        <v>838</v>
      </c>
      <c r="C18" s="28" t="s">
        <v>507</v>
      </c>
      <c r="D18" s="28" t="s">
        <v>839</v>
      </c>
      <c r="E18" s="21" t="s">
        <v>640</v>
      </c>
      <c r="F18" s="28" t="s">
        <v>215</v>
      </c>
      <c r="G18" s="28" t="n">
        <v>1</v>
      </c>
      <c r="H18" s="28" t="s">
        <v>840</v>
      </c>
      <c r="I18" s="28" t="s">
        <v>461</v>
      </c>
      <c r="J18" s="28"/>
    </row>
    <row r="19" customFormat="false" ht="43.5" hidden="false" customHeight="true" outlineLevel="0" collapsed="false">
      <c r="A19" s="28" t="s">
        <v>873</v>
      </c>
      <c r="B19" s="28" t="s">
        <v>842</v>
      </c>
      <c r="C19" s="28" t="s">
        <v>524</v>
      </c>
      <c r="D19" s="28" t="s">
        <v>441</v>
      </c>
      <c r="E19" s="21" t="s">
        <v>640</v>
      </c>
      <c r="F19" s="28" t="s">
        <v>215</v>
      </c>
      <c r="G19" s="28" t="n">
        <v>1</v>
      </c>
      <c r="H19" s="28" t="s">
        <v>843</v>
      </c>
      <c r="I19" s="28" t="s">
        <v>526</v>
      </c>
      <c r="J19" s="28"/>
    </row>
    <row r="20" customFormat="false" ht="43.5" hidden="false" customHeight="true" outlineLevel="0" collapsed="false">
      <c r="A20" s="28" t="s">
        <v>874</v>
      </c>
      <c r="B20" s="28" t="s">
        <v>464</v>
      </c>
      <c r="C20" s="28" t="s">
        <v>513</v>
      </c>
      <c r="D20" s="28" t="s">
        <v>845</v>
      </c>
      <c r="E20" s="21" t="s">
        <v>640</v>
      </c>
      <c r="F20" s="28" t="s">
        <v>215</v>
      </c>
      <c r="G20" s="28" t="n">
        <v>1</v>
      </c>
      <c r="H20" s="28" t="s">
        <v>846</v>
      </c>
      <c r="I20" s="28" t="s">
        <v>467</v>
      </c>
      <c r="J20" s="28"/>
    </row>
    <row r="21" customFormat="false" ht="43.5" hidden="false" customHeight="true" outlineLevel="0" collapsed="false">
      <c r="A21" s="28" t="s">
        <v>875</v>
      </c>
      <c r="B21" s="28" t="s">
        <v>848</v>
      </c>
      <c r="C21" s="28" t="s">
        <v>349</v>
      </c>
      <c r="D21" s="28" t="s">
        <v>849</v>
      </c>
      <c r="E21" s="21" t="s">
        <v>640</v>
      </c>
      <c r="F21" s="28" t="s">
        <v>215</v>
      </c>
      <c r="G21" s="28" t="n">
        <v>1</v>
      </c>
      <c r="H21" s="28" t="s">
        <v>850</v>
      </c>
      <c r="I21" s="28" t="s">
        <v>851</v>
      </c>
      <c r="J21" s="28"/>
    </row>
    <row r="22" customFormat="false" ht="43.5" hidden="false" customHeight="true" outlineLevel="0" collapsed="false">
      <c r="A22" s="28" t="s">
        <v>876</v>
      </c>
      <c r="B22" s="28" t="s">
        <v>849</v>
      </c>
      <c r="C22" s="28" t="s">
        <v>494</v>
      </c>
      <c r="D22" s="28" t="s">
        <v>853</v>
      </c>
      <c r="E22" s="21" t="s">
        <v>640</v>
      </c>
      <c r="F22" s="28" t="s">
        <v>215</v>
      </c>
      <c r="G22" s="28" t="n">
        <v>2</v>
      </c>
      <c r="H22" s="28" t="s">
        <v>854</v>
      </c>
      <c r="I22" s="28" t="s">
        <v>855</v>
      </c>
      <c r="J22" s="28"/>
    </row>
    <row r="23" customFormat="false" ht="43.5" hidden="false" customHeight="true" outlineLevel="0" collapsed="false">
      <c r="A23" s="28" t="s">
        <v>877</v>
      </c>
      <c r="B23" s="28" t="s">
        <v>383</v>
      </c>
      <c r="C23" s="28" t="s">
        <v>878</v>
      </c>
      <c r="D23" s="28" t="s">
        <v>879</v>
      </c>
      <c r="E23" s="21" t="s">
        <v>640</v>
      </c>
      <c r="F23" s="28" t="s">
        <v>215</v>
      </c>
      <c r="G23" s="28" t="n">
        <v>3</v>
      </c>
      <c r="H23" s="28" t="s">
        <v>880</v>
      </c>
      <c r="I23" s="28" t="s">
        <v>881</v>
      </c>
      <c r="J23" s="28"/>
    </row>
    <row r="24" customFormat="false" ht="43.5" hidden="false" customHeight="true" outlineLevel="0" collapsed="false">
      <c r="A24" s="28" t="s">
        <v>882</v>
      </c>
      <c r="B24" s="28" t="s">
        <v>829</v>
      </c>
      <c r="C24" s="28" t="s">
        <v>492</v>
      </c>
      <c r="D24" s="28" t="s">
        <v>883</v>
      </c>
      <c r="E24" s="21" t="s">
        <v>640</v>
      </c>
      <c r="F24" s="28" t="s">
        <v>664</v>
      </c>
      <c r="G24" s="28" t="n">
        <v>2</v>
      </c>
      <c r="H24" s="28" t="s">
        <v>884</v>
      </c>
      <c r="I24" s="28" t="s">
        <v>885</v>
      </c>
      <c r="J24" s="28" t="s">
        <v>664</v>
      </c>
    </row>
    <row r="25" customFormat="false" ht="43.5" hidden="false" customHeight="true" outlineLevel="0" collapsed="false">
      <c r="A25" s="28" t="s">
        <v>886</v>
      </c>
      <c r="B25" s="28" t="s">
        <v>887</v>
      </c>
      <c r="C25" s="28" t="s">
        <v>483</v>
      </c>
      <c r="D25" s="28" t="s">
        <v>888</v>
      </c>
      <c r="E25" s="21" t="s">
        <v>640</v>
      </c>
      <c r="F25" s="28" t="s">
        <v>215</v>
      </c>
      <c r="G25" s="28" t="n">
        <v>1</v>
      </c>
      <c r="H25" s="28" t="s">
        <v>889</v>
      </c>
      <c r="I25" s="28" t="s">
        <v>890</v>
      </c>
      <c r="J25" s="28"/>
    </row>
    <row r="26" customFormat="false" ht="43.5" hidden="false" customHeight="true" outlineLevel="0" collapsed="false">
      <c r="A26" s="28" t="s">
        <v>891</v>
      </c>
      <c r="B26" s="28" t="s">
        <v>892</v>
      </c>
      <c r="C26" s="28" t="s">
        <v>497</v>
      </c>
      <c r="D26" s="28" t="s">
        <v>893</v>
      </c>
      <c r="E26" s="21" t="s">
        <v>640</v>
      </c>
      <c r="F26" s="28" t="s">
        <v>664</v>
      </c>
      <c r="G26" s="28" t="n">
        <v>1</v>
      </c>
      <c r="H26" s="28" t="s">
        <v>894</v>
      </c>
      <c r="I26" s="28" t="s">
        <v>895</v>
      </c>
      <c r="J26" s="28" t="s">
        <v>664</v>
      </c>
    </row>
    <row r="27" customFormat="false" ht="43.5" hidden="false" customHeight="true" outlineLevel="0" collapsed="false">
      <c r="A27" s="28" t="s">
        <v>896</v>
      </c>
      <c r="B27" s="28" t="s">
        <v>897</v>
      </c>
      <c r="C27" s="28" t="s">
        <v>513</v>
      </c>
      <c r="D27" s="28" t="s">
        <v>898</v>
      </c>
      <c r="E27" s="21" t="s">
        <v>640</v>
      </c>
      <c r="F27" s="28" t="s">
        <v>215</v>
      </c>
      <c r="G27" s="28" t="n">
        <v>1</v>
      </c>
      <c r="H27" s="28" t="s">
        <v>899</v>
      </c>
      <c r="I27" s="28" t="s">
        <v>900</v>
      </c>
      <c r="J27" s="28"/>
    </row>
    <row r="28" customFormat="false" ht="43.5" hidden="false" customHeight="true" outlineLevel="0" collapsed="false">
      <c r="A28" s="28" t="s">
        <v>901</v>
      </c>
      <c r="B28" s="28" t="s">
        <v>725</v>
      </c>
      <c r="C28" s="28" t="s">
        <v>483</v>
      </c>
      <c r="D28" s="28" t="s">
        <v>902</v>
      </c>
      <c r="E28" s="21" t="s">
        <v>640</v>
      </c>
      <c r="F28" s="28" t="s">
        <v>664</v>
      </c>
      <c r="G28" s="28" t="n">
        <v>1</v>
      </c>
      <c r="H28" s="28" t="s">
        <v>903</v>
      </c>
      <c r="I28" s="28" t="s">
        <v>904</v>
      </c>
      <c r="J28" s="28" t="s">
        <v>664</v>
      </c>
    </row>
    <row r="30" customFormat="false" ht="15" hidden="false" customHeight="true" outlineLevel="0" collapsed="false">
      <c r="A30" s="6" t="s">
        <v>672</v>
      </c>
    </row>
    <row r="31" customFormat="false" ht="15" hidden="false" customHeight="true" outlineLevel="0" collapsed="false">
      <c r="A31" s="1" t="s">
        <v>673</v>
      </c>
      <c r="B31" s="29" t="n">
        <f aca="false">COUNTA(A5:A28)</f>
        <v>24</v>
      </c>
    </row>
    <row r="32" customFormat="false" ht="15" hidden="false" customHeight="true" outlineLevel="0" collapsed="false">
      <c r="A32" s="1" t="s">
        <v>674</v>
      </c>
      <c r="B32" s="30" t="n">
        <f aca="false">COUNTIF(E5:E28,"REASONING")</f>
        <v>24</v>
      </c>
    </row>
    <row r="33" customFormat="false" ht="15" hidden="false" customHeight="true" outlineLevel="0" collapsed="false">
      <c r="A33" s="1" t="s">
        <v>675</v>
      </c>
      <c r="B33" s="31" t="n">
        <f aca="false">COUNTIF(E5:E28,"FEATURE_DESC")</f>
        <v>0</v>
      </c>
    </row>
    <row r="34" customFormat="false" ht="15" hidden="false" customHeight="true" outlineLevel="0" collapsed="false">
      <c r="A34" s="1" t="s">
        <v>676</v>
      </c>
      <c r="B34" s="32" t="s">
        <v>856</v>
      </c>
    </row>
  </sheetData>
  <mergeCells count="3">
    <mergeCell ref="A1:J1"/>
    <mergeCell ref="A2:J2"/>
    <mergeCell ref="A3:J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3A8A"/>
    <pageSetUpPr fitToPage="false"/>
  </sheetPr>
  <dimension ref="A1:J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2"/>
    <col collapsed="false" customWidth="true" hidden="false" outlineLevel="0" max="3" min="3" style="1" width="14"/>
    <col collapsed="false" customWidth="true" hidden="false" outlineLevel="0" max="4" min="4" style="1" width="22"/>
    <col collapsed="false" customWidth="true" hidden="false" outlineLevel="0" max="5" min="5" style="1" width="14"/>
    <col collapsed="false" customWidth="true" hidden="false" outlineLevel="0" max="7" min="6" style="1" width="12"/>
    <col collapsed="false" customWidth="true" hidden="false" outlineLevel="0" max="8" min="8" style="1" width="38"/>
    <col collapsed="false" customWidth="true" hidden="false" outlineLevel="0" max="9" min="9" style="1" width="44"/>
    <col collapsed="false" customWidth="true" hidden="false" outlineLevel="0" max="10" min="10" style="1" width="18"/>
  </cols>
  <sheetData>
    <row r="1" customFormat="false" ht="27.75" hidden="false" customHeight="true" outlineLevel="0" collapsed="false">
      <c r="A1" s="24" t="s">
        <v>905</v>
      </c>
      <c r="B1" s="24"/>
      <c r="C1" s="24"/>
      <c r="D1" s="24"/>
      <c r="E1" s="24"/>
      <c r="F1" s="24"/>
      <c r="G1" s="24"/>
      <c r="H1" s="24"/>
      <c r="I1" s="24"/>
      <c r="J1" s="24"/>
    </row>
    <row r="2" customFormat="false" ht="15" hidden="false" customHeight="true" outlineLevel="0" collapsed="false">
      <c r="A2" s="25" t="s">
        <v>906</v>
      </c>
      <c r="B2" s="25"/>
      <c r="C2" s="25"/>
      <c r="D2" s="25"/>
      <c r="E2" s="25"/>
      <c r="F2" s="25"/>
      <c r="G2" s="25"/>
      <c r="H2" s="25"/>
      <c r="I2" s="25"/>
      <c r="J2" s="25"/>
    </row>
    <row r="3" customFormat="false" ht="19.5" hidden="false" customHeight="true" outlineLevel="0" collapsed="false">
      <c r="A3" s="36" t="s">
        <v>786</v>
      </c>
      <c r="B3" s="36"/>
      <c r="C3" s="36"/>
      <c r="D3" s="36"/>
      <c r="E3" s="36"/>
      <c r="F3" s="36"/>
      <c r="G3" s="36"/>
      <c r="H3" s="36"/>
      <c r="I3" s="36"/>
      <c r="J3" s="36"/>
    </row>
    <row r="4" customFormat="false" ht="27.75" hidden="false" customHeight="true" outlineLevel="0" collapsed="false">
      <c r="A4" s="37" t="s">
        <v>634</v>
      </c>
      <c r="B4" s="37" t="s">
        <v>321</v>
      </c>
      <c r="C4" s="37" t="s">
        <v>322</v>
      </c>
      <c r="D4" s="37" t="s">
        <v>323</v>
      </c>
      <c r="E4" s="37" t="s">
        <v>635</v>
      </c>
      <c r="F4" s="37" t="s">
        <v>636</v>
      </c>
      <c r="G4" s="37" t="s">
        <v>481</v>
      </c>
      <c r="H4" s="37" t="s">
        <v>637</v>
      </c>
      <c r="I4" s="37" t="s">
        <v>210</v>
      </c>
      <c r="J4" s="37" t="s">
        <v>638</v>
      </c>
    </row>
    <row r="5" customFormat="false" ht="43.5" hidden="false" customHeight="true" outlineLevel="0" collapsed="false">
      <c r="A5" s="28" t="s">
        <v>907</v>
      </c>
      <c r="B5" s="28" t="s">
        <v>377</v>
      </c>
      <c r="C5" s="28" t="s">
        <v>483</v>
      </c>
      <c r="D5" s="28" t="s">
        <v>383</v>
      </c>
      <c r="E5" s="21" t="s">
        <v>640</v>
      </c>
      <c r="F5" s="28" t="s">
        <v>215</v>
      </c>
      <c r="G5" s="28" t="n">
        <v>1</v>
      </c>
      <c r="H5" s="28" t="s">
        <v>805</v>
      </c>
      <c r="I5" s="28" t="s">
        <v>380</v>
      </c>
      <c r="J5" s="28"/>
    </row>
    <row r="6" customFormat="false" ht="43.5" hidden="false" customHeight="true" outlineLevel="0" collapsed="false">
      <c r="A6" s="28" t="s">
        <v>908</v>
      </c>
      <c r="B6" s="28" t="s">
        <v>383</v>
      </c>
      <c r="C6" s="28" t="s">
        <v>488</v>
      </c>
      <c r="D6" s="28" t="s">
        <v>388</v>
      </c>
      <c r="E6" s="21" t="s">
        <v>640</v>
      </c>
      <c r="F6" s="28" t="s">
        <v>215</v>
      </c>
      <c r="G6" s="28" t="n">
        <v>2</v>
      </c>
      <c r="H6" s="28" t="s">
        <v>807</v>
      </c>
      <c r="I6" s="28" t="s">
        <v>385</v>
      </c>
      <c r="J6" s="28"/>
    </row>
    <row r="7" customFormat="false" ht="43.5" hidden="false" customHeight="true" outlineLevel="0" collapsed="false">
      <c r="A7" s="28" t="s">
        <v>909</v>
      </c>
      <c r="B7" s="28" t="s">
        <v>388</v>
      </c>
      <c r="C7" s="28" t="s">
        <v>490</v>
      </c>
      <c r="D7" s="28" t="s">
        <v>393</v>
      </c>
      <c r="E7" s="21" t="s">
        <v>640</v>
      </c>
      <c r="F7" s="28" t="s">
        <v>215</v>
      </c>
      <c r="G7" s="28" t="n">
        <v>3</v>
      </c>
      <c r="H7" s="28" t="s">
        <v>809</v>
      </c>
      <c r="I7" s="28" t="s">
        <v>390</v>
      </c>
      <c r="J7" s="28"/>
    </row>
    <row r="8" customFormat="false" ht="43.5" hidden="false" customHeight="true" outlineLevel="0" collapsed="false">
      <c r="A8" s="28" t="s">
        <v>910</v>
      </c>
      <c r="B8" s="28" t="s">
        <v>393</v>
      </c>
      <c r="C8" s="28" t="s">
        <v>492</v>
      </c>
      <c r="D8" s="28" t="s">
        <v>399</v>
      </c>
      <c r="E8" s="21" t="s">
        <v>640</v>
      </c>
      <c r="F8" s="28" t="s">
        <v>215</v>
      </c>
      <c r="G8" s="28" t="n">
        <v>4</v>
      </c>
      <c r="H8" s="28" t="s">
        <v>811</v>
      </c>
      <c r="I8" s="28" t="s">
        <v>396</v>
      </c>
      <c r="J8" s="28"/>
    </row>
    <row r="9" customFormat="false" ht="43.5" hidden="false" customHeight="true" outlineLevel="0" collapsed="false">
      <c r="A9" s="28" t="s">
        <v>911</v>
      </c>
      <c r="B9" s="28" t="s">
        <v>399</v>
      </c>
      <c r="C9" s="28" t="s">
        <v>494</v>
      </c>
      <c r="D9" s="28" t="s">
        <v>495</v>
      </c>
      <c r="E9" s="21" t="s">
        <v>640</v>
      </c>
      <c r="F9" s="28" t="s">
        <v>215</v>
      </c>
      <c r="G9" s="28" t="n">
        <v>5</v>
      </c>
      <c r="H9" s="28" t="s">
        <v>813</v>
      </c>
      <c r="I9" s="28" t="s">
        <v>402</v>
      </c>
      <c r="J9" s="28"/>
    </row>
    <row r="10" customFormat="false" ht="43.5" hidden="false" customHeight="true" outlineLevel="0" collapsed="false">
      <c r="A10" s="28" t="s">
        <v>912</v>
      </c>
      <c r="B10" s="28" t="s">
        <v>495</v>
      </c>
      <c r="C10" s="28" t="s">
        <v>815</v>
      </c>
      <c r="D10" s="28" t="s">
        <v>410</v>
      </c>
      <c r="E10" s="21" t="s">
        <v>640</v>
      </c>
      <c r="F10" s="28" t="s">
        <v>215</v>
      </c>
      <c r="G10" s="28" t="n">
        <v>6</v>
      </c>
      <c r="H10" s="28" t="s">
        <v>816</v>
      </c>
      <c r="I10" s="28" t="s">
        <v>498</v>
      </c>
      <c r="J10" s="28"/>
    </row>
    <row r="11" customFormat="false" ht="43.5" hidden="false" customHeight="true" outlineLevel="0" collapsed="false">
      <c r="A11" s="28" t="s">
        <v>913</v>
      </c>
      <c r="B11" s="28" t="s">
        <v>377</v>
      </c>
      <c r="C11" s="28" t="s">
        <v>497</v>
      </c>
      <c r="D11" s="28" t="s">
        <v>410</v>
      </c>
      <c r="E11" s="21" t="s">
        <v>640</v>
      </c>
      <c r="F11" s="28" t="s">
        <v>215</v>
      </c>
      <c r="G11" s="28" t="n">
        <v>7</v>
      </c>
      <c r="H11" s="28" t="s">
        <v>818</v>
      </c>
      <c r="I11" s="28" t="s">
        <v>819</v>
      </c>
      <c r="J11" s="28" t="s">
        <v>820</v>
      </c>
    </row>
    <row r="12" customFormat="false" ht="43.5" hidden="false" customHeight="true" outlineLevel="0" collapsed="false">
      <c r="A12" s="28" t="s">
        <v>914</v>
      </c>
      <c r="B12" s="28" t="s">
        <v>415</v>
      </c>
      <c r="C12" s="28" t="s">
        <v>349</v>
      </c>
      <c r="D12" s="28" t="s">
        <v>421</v>
      </c>
      <c r="E12" s="21" t="s">
        <v>640</v>
      </c>
      <c r="F12" s="28" t="s">
        <v>215</v>
      </c>
      <c r="G12" s="28" t="n">
        <v>1</v>
      </c>
      <c r="H12" s="28" t="s">
        <v>822</v>
      </c>
      <c r="I12" s="28" t="s">
        <v>418</v>
      </c>
      <c r="J12" s="28"/>
    </row>
    <row r="13" customFormat="false" ht="43.5" hidden="false" customHeight="true" outlineLevel="0" collapsed="false">
      <c r="A13" s="28" t="s">
        <v>915</v>
      </c>
      <c r="B13" s="28" t="s">
        <v>421</v>
      </c>
      <c r="C13" s="28" t="s">
        <v>349</v>
      </c>
      <c r="D13" s="28" t="s">
        <v>426</v>
      </c>
      <c r="E13" s="21" t="s">
        <v>640</v>
      </c>
      <c r="F13" s="28" t="s">
        <v>215</v>
      </c>
      <c r="G13" s="28" t="n">
        <v>2</v>
      </c>
      <c r="H13" s="28" t="s">
        <v>824</v>
      </c>
      <c r="I13" s="28" t="s">
        <v>825</v>
      </c>
      <c r="J13" s="28"/>
    </row>
    <row r="14" customFormat="false" ht="43.5" hidden="false" customHeight="true" outlineLevel="0" collapsed="false">
      <c r="A14" s="28" t="s">
        <v>916</v>
      </c>
      <c r="B14" s="28" t="s">
        <v>426</v>
      </c>
      <c r="C14" s="28" t="s">
        <v>356</v>
      </c>
      <c r="D14" s="28" t="s">
        <v>431</v>
      </c>
      <c r="E14" s="21" t="s">
        <v>640</v>
      </c>
      <c r="F14" s="28" t="s">
        <v>215</v>
      </c>
      <c r="G14" s="28" t="n">
        <v>3</v>
      </c>
      <c r="H14" s="28" t="s">
        <v>827</v>
      </c>
      <c r="I14" s="28" t="s">
        <v>433</v>
      </c>
      <c r="J14" s="28"/>
    </row>
    <row r="15" customFormat="false" ht="43.5" hidden="false" customHeight="true" outlineLevel="0" collapsed="false">
      <c r="A15" s="28" t="s">
        <v>917</v>
      </c>
      <c r="B15" s="28" t="s">
        <v>436</v>
      </c>
      <c r="C15" s="28" t="s">
        <v>516</v>
      </c>
      <c r="D15" s="28" t="s">
        <v>829</v>
      </c>
      <c r="E15" s="21" t="s">
        <v>640</v>
      </c>
      <c r="F15" s="28" t="s">
        <v>215</v>
      </c>
      <c r="G15" s="28" t="n">
        <v>1</v>
      </c>
      <c r="H15" s="28" t="s">
        <v>830</v>
      </c>
      <c r="I15" s="28" t="s">
        <v>831</v>
      </c>
      <c r="J15" s="28"/>
    </row>
    <row r="16" customFormat="false" ht="43.5" hidden="false" customHeight="true" outlineLevel="0" collapsed="false">
      <c r="A16" s="28" t="s">
        <v>918</v>
      </c>
      <c r="B16" s="28" t="s">
        <v>829</v>
      </c>
      <c r="C16" s="28" t="s">
        <v>349</v>
      </c>
      <c r="D16" s="28" t="s">
        <v>399</v>
      </c>
      <c r="E16" s="21" t="s">
        <v>640</v>
      </c>
      <c r="F16" s="28" t="s">
        <v>215</v>
      </c>
      <c r="G16" s="28" t="n">
        <v>2</v>
      </c>
      <c r="H16" s="28" t="s">
        <v>833</v>
      </c>
      <c r="I16" s="28" t="s">
        <v>521</v>
      </c>
      <c r="J16" s="28"/>
    </row>
    <row r="17" customFormat="false" ht="43.5" hidden="false" customHeight="true" outlineLevel="0" collapsed="false">
      <c r="A17" s="28" t="s">
        <v>919</v>
      </c>
      <c r="B17" s="28" t="s">
        <v>506</v>
      </c>
      <c r="C17" s="28" t="s">
        <v>507</v>
      </c>
      <c r="D17" s="28" t="s">
        <v>835</v>
      </c>
      <c r="E17" s="21" t="s">
        <v>640</v>
      </c>
      <c r="F17" s="28" t="s">
        <v>215</v>
      </c>
      <c r="G17" s="28" t="n">
        <v>1</v>
      </c>
      <c r="H17" s="28" t="s">
        <v>836</v>
      </c>
      <c r="I17" s="28" t="s">
        <v>456</v>
      </c>
      <c r="J17" s="28"/>
    </row>
    <row r="18" customFormat="false" ht="43.5" hidden="false" customHeight="true" outlineLevel="0" collapsed="false">
      <c r="A18" s="28" t="s">
        <v>920</v>
      </c>
      <c r="B18" s="28" t="s">
        <v>838</v>
      </c>
      <c r="C18" s="28" t="s">
        <v>507</v>
      </c>
      <c r="D18" s="28" t="s">
        <v>839</v>
      </c>
      <c r="E18" s="21" t="s">
        <v>640</v>
      </c>
      <c r="F18" s="28" t="s">
        <v>215</v>
      </c>
      <c r="G18" s="28" t="n">
        <v>1</v>
      </c>
      <c r="H18" s="28" t="s">
        <v>840</v>
      </c>
      <c r="I18" s="28" t="s">
        <v>461</v>
      </c>
      <c r="J18" s="28"/>
    </row>
    <row r="19" customFormat="false" ht="43.5" hidden="false" customHeight="true" outlineLevel="0" collapsed="false">
      <c r="A19" s="28" t="s">
        <v>921</v>
      </c>
      <c r="B19" s="28" t="s">
        <v>842</v>
      </c>
      <c r="C19" s="28" t="s">
        <v>524</v>
      </c>
      <c r="D19" s="28" t="s">
        <v>441</v>
      </c>
      <c r="E19" s="21" t="s">
        <v>640</v>
      </c>
      <c r="F19" s="28" t="s">
        <v>215</v>
      </c>
      <c r="G19" s="28" t="n">
        <v>1</v>
      </c>
      <c r="H19" s="28" t="s">
        <v>843</v>
      </c>
      <c r="I19" s="28" t="s">
        <v>526</v>
      </c>
      <c r="J19" s="28"/>
    </row>
    <row r="20" customFormat="false" ht="43.5" hidden="false" customHeight="true" outlineLevel="0" collapsed="false">
      <c r="A20" s="28" t="s">
        <v>922</v>
      </c>
      <c r="B20" s="28" t="s">
        <v>464</v>
      </c>
      <c r="C20" s="28" t="s">
        <v>513</v>
      </c>
      <c r="D20" s="28" t="s">
        <v>845</v>
      </c>
      <c r="E20" s="21" t="s">
        <v>640</v>
      </c>
      <c r="F20" s="28" t="s">
        <v>215</v>
      </c>
      <c r="G20" s="28" t="n">
        <v>1</v>
      </c>
      <c r="H20" s="28" t="s">
        <v>846</v>
      </c>
      <c r="I20" s="28" t="s">
        <v>467</v>
      </c>
      <c r="J20" s="28"/>
    </row>
    <row r="21" customFormat="false" ht="43.5" hidden="false" customHeight="true" outlineLevel="0" collapsed="false">
      <c r="A21" s="28" t="s">
        <v>923</v>
      </c>
      <c r="B21" s="28" t="s">
        <v>377</v>
      </c>
      <c r="C21" s="28" t="s">
        <v>924</v>
      </c>
      <c r="D21" s="28" t="s">
        <v>925</v>
      </c>
      <c r="E21" s="21" t="s">
        <v>640</v>
      </c>
      <c r="F21" s="28" t="s">
        <v>215</v>
      </c>
      <c r="G21" s="28" t="n">
        <v>1</v>
      </c>
      <c r="H21" s="28" t="s">
        <v>926</v>
      </c>
      <c r="I21" s="28" t="s">
        <v>927</v>
      </c>
      <c r="J21" s="28"/>
    </row>
    <row r="22" customFormat="false" ht="43.5" hidden="false" customHeight="true" outlineLevel="0" collapsed="false">
      <c r="A22" s="28" t="s">
        <v>928</v>
      </c>
      <c r="B22" s="28" t="s">
        <v>388</v>
      </c>
      <c r="C22" s="28" t="s">
        <v>929</v>
      </c>
      <c r="D22" s="28" t="s">
        <v>930</v>
      </c>
      <c r="E22" s="21" t="s">
        <v>640</v>
      </c>
      <c r="F22" s="28" t="s">
        <v>215</v>
      </c>
      <c r="G22" s="28" t="n">
        <v>3</v>
      </c>
      <c r="H22" s="28" t="s">
        <v>931</v>
      </c>
      <c r="I22" s="28" t="s">
        <v>932</v>
      </c>
      <c r="J22" s="28"/>
    </row>
    <row r="23" customFormat="false" ht="43.5" hidden="false" customHeight="true" outlineLevel="0" collapsed="false">
      <c r="A23" s="28" t="s">
        <v>933</v>
      </c>
      <c r="B23" s="28" t="s">
        <v>399</v>
      </c>
      <c r="C23" s="28" t="s">
        <v>497</v>
      </c>
      <c r="D23" s="28" t="s">
        <v>934</v>
      </c>
      <c r="E23" s="21" t="s">
        <v>640</v>
      </c>
      <c r="F23" s="28" t="s">
        <v>215</v>
      </c>
      <c r="G23" s="28" t="n">
        <v>5</v>
      </c>
      <c r="H23" s="28" t="s">
        <v>935</v>
      </c>
      <c r="I23" s="28" t="s">
        <v>936</v>
      </c>
      <c r="J23" s="28"/>
    </row>
    <row r="24" customFormat="false" ht="43.5" hidden="false" customHeight="true" outlineLevel="0" collapsed="false">
      <c r="A24" s="28" t="s">
        <v>937</v>
      </c>
      <c r="B24" s="28" t="s">
        <v>938</v>
      </c>
      <c r="C24" s="28" t="s">
        <v>507</v>
      </c>
      <c r="D24" s="28" t="s">
        <v>939</v>
      </c>
      <c r="E24" s="21" t="s">
        <v>640</v>
      </c>
      <c r="F24" s="28" t="s">
        <v>215</v>
      </c>
      <c r="G24" s="28" t="n">
        <v>1</v>
      </c>
      <c r="H24" s="28" t="s">
        <v>940</v>
      </c>
      <c r="I24" s="28" t="s">
        <v>941</v>
      </c>
      <c r="J24" s="28"/>
    </row>
    <row r="25" customFormat="false" ht="43.5" hidden="false" customHeight="true" outlineLevel="0" collapsed="false">
      <c r="A25" s="28" t="s">
        <v>942</v>
      </c>
      <c r="B25" s="28" t="s">
        <v>436</v>
      </c>
      <c r="C25" s="28" t="s">
        <v>349</v>
      </c>
      <c r="D25" s="28" t="s">
        <v>943</v>
      </c>
      <c r="E25" s="21" t="s">
        <v>640</v>
      </c>
      <c r="F25" s="28" t="s">
        <v>664</v>
      </c>
      <c r="G25" s="28" t="n">
        <v>1</v>
      </c>
      <c r="H25" s="28" t="s">
        <v>944</v>
      </c>
      <c r="I25" s="28" t="s">
        <v>945</v>
      </c>
      <c r="J25" s="28" t="s">
        <v>664</v>
      </c>
    </row>
    <row r="27" customFormat="false" ht="15" hidden="false" customHeight="true" outlineLevel="0" collapsed="false">
      <c r="A27" s="6" t="s">
        <v>672</v>
      </c>
    </row>
    <row r="28" customFormat="false" ht="15" hidden="false" customHeight="true" outlineLevel="0" collapsed="false">
      <c r="A28" s="1" t="s">
        <v>673</v>
      </c>
      <c r="B28" s="29" t="n">
        <f aca="false">COUNTA(A5:A25)</f>
        <v>21</v>
      </c>
    </row>
    <row r="29" customFormat="false" ht="15" hidden="false" customHeight="true" outlineLevel="0" collapsed="false">
      <c r="A29" s="1" t="s">
        <v>674</v>
      </c>
      <c r="B29" s="30" t="n">
        <f aca="false">COUNTIF(E5:E25,"REASONING")</f>
        <v>21</v>
      </c>
    </row>
    <row r="30" customFormat="false" ht="15" hidden="false" customHeight="true" outlineLevel="0" collapsed="false">
      <c r="A30" s="1" t="s">
        <v>675</v>
      </c>
      <c r="B30" s="31" t="n">
        <f aca="false">COUNTIF(E5:E25,"FEATURE_DESC")</f>
        <v>0</v>
      </c>
    </row>
    <row r="31" customFormat="false" ht="15" hidden="false" customHeight="true" outlineLevel="0" collapsed="false">
      <c r="A31" s="1" t="s">
        <v>676</v>
      </c>
      <c r="B31" s="32" t="s">
        <v>856</v>
      </c>
    </row>
  </sheetData>
  <mergeCells count="3">
    <mergeCell ref="A1:J1"/>
    <mergeCell ref="A2:J2"/>
    <mergeCell ref="A3:J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4C75"/>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18"/>
    <col collapsed="false" customWidth="true" hidden="false" outlineLevel="0" max="3" min="3" style="1" width="12"/>
    <col collapsed="false" customWidth="true" hidden="false" outlineLevel="0" max="4" min="4" style="1" width="70"/>
    <col collapsed="false" customWidth="true" hidden="false" outlineLevel="0" max="5" min="5" style="1" width="46"/>
    <col collapsed="false" customWidth="true" hidden="false" outlineLevel="0" max="6" min="6" style="1" width="12"/>
    <col collapsed="false" customWidth="true" hidden="false" outlineLevel="0" max="7" min="7" style="1" width="20"/>
    <col collapsed="false" customWidth="true" hidden="false" outlineLevel="0" max="8" min="8" style="1" width="44"/>
  </cols>
  <sheetData>
    <row r="1" customFormat="false" ht="27.75" hidden="false" customHeight="true" outlineLevel="0" collapsed="false">
      <c r="A1" s="24" t="s">
        <v>946</v>
      </c>
      <c r="B1" s="24"/>
      <c r="C1" s="24"/>
      <c r="D1" s="24"/>
      <c r="E1" s="24"/>
      <c r="F1" s="24"/>
      <c r="G1" s="24"/>
      <c r="H1" s="24"/>
    </row>
    <row r="2" customFormat="false" ht="19.5" hidden="false" customHeight="true" outlineLevel="0" collapsed="false">
      <c r="A2" s="25" t="s">
        <v>947</v>
      </c>
      <c r="B2" s="25"/>
      <c r="C2" s="25"/>
      <c r="D2" s="25"/>
      <c r="E2" s="25"/>
      <c r="F2" s="25"/>
      <c r="G2" s="25"/>
      <c r="H2" s="25"/>
    </row>
    <row r="4" customFormat="false" ht="27.75" hidden="false" customHeight="true" outlineLevel="0" collapsed="false">
      <c r="A4" s="7" t="s">
        <v>592</v>
      </c>
      <c r="B4" s="7" t="s">
        <v>594</v>
      </c>
      <c r="C4" s="7" t="s">
        <v>948</v>
      </c>
      <c r="D4" s="7" t="s">
        <v>949</v>
      </c>
      <c r="E4" s="7" t="s">
        <v>950</v>
      </c>
      <c r="F4" s="7" t="s">
        <v>951</v>
      </c>
      <c r="G4" s="7" t="s">
        <v>952</v>
      </c>
      <c r="H4" s="7" t="s">
        <v>953</v>
      </c>
    </row>
    <row r="5" customFormat="false" ht="55.5" hidden="false" customHeight="true" outlineLevel="0" collapsed="false">
      <c r="A5" s="28" t="s">
        <v>954</v>
      </c>
      <c r="B5" s="28" t="s">
        <v>955</v>
      </c>
      <c r="C5" s="39" t="n">
        <v>3</v>
      </c>
      <c r="D5" s="28" t="s">
        <v>956</v>
      </c>
      <c r="E5" s="40" t="s">
        <v>957</v>
      </c>
      <c r="F5" s="41" t="s">
        <v>367</v>
      </c>
      <c r="G5" s="42" t="s">
        <v>958</v>
      </c>
      <c r="H5" s="28" t="s">
        <v>959</v>
      </c>
    </row>
    <row r="6" customFormat="false" ht="55.5" hidden="false" customHeight="true" outlineLevel="0" collapsed="false">
      <c r="A6" s="28" t="s">
        <v>960</v>
      </c>
      <c r="B6" s="28" t="s">
        <v>955</v>
      </c>
      <c r="C6" s="39" t="n">
        <v>3</v>
      </c>
      <c r="D6" s="28" t="s">
        <v>956</v>
      </c>
      <c r="E6" s="40" t="s">
        <v>957</v>
      </c>
      <c r="F6" s="41" t="s">
        <v>367</v>
      </c>
      <c r="G6" s="42" t="s">
        <v>958</v>
      </c>
      <c r="H6" s="28" t="s">
        <v>961</v>
      </c>
    </row>
    <row r="7" customFormat="false" ht="55.5" hidden="false" customHeight="true" outlineLevel="0" collapsed="false">
      <c r="A7" s="28" t="s">
        <v>962</v>
      </c>
      <c r="B7" s="28" t="s">
        <v>955</v>
      </c>
      <c r="C7" s="39" t="n">
        <v>2</v>
      </c>
      <c r="D7" s="28" t="s">
        <v>963</v>
      </c>
      <c r="E7" s="40" t="s">
        <v>964</v>
      </c>
      <c r="F7" s="41" t="s">
        <v>367</v>
      </c>
      <c r="G7" s="43" t="s">
        <v>965</v>
      </c>
      <c r="H7" s="28" t="s">
        <v>966</v>
      </c>
    </row>
    <row r="8" customFormat="false" ht="55.5" hidden="false" customHeight="true" outlineLevel="0" collapsed="false">
      <c r="A8" s="28" t="s">
        <v>954</v>
      </c>
      <c r="B8" s="28" t="s">
        <v>967</v>
      </c>
      <c r="C8" s="39" t="n">
        <v>7</v>
      </c>
      <c r="D8" s="28" t="s">
        <v>968</v>
      </c>
      <c r="E8" s="40" t="s">
        <v>969</v>
      </c>
      <c r="F8" s="41" t="s">
        <v>970</v>
      </c>
      <c r="G8" s="42" t="s">
        <v>971</v>
      </c>
      <c r="H8" s="28" t="s">
        <v>972</v>
      </c>
    </row>
    <row r="9" customFormat="false" ht="55.5" hidden="false" customHeight="true" outlineLevel="0" collapsed="false">
      <c r="A9" s="28" t="s">
        <v>960</v>
      </c>
      <c r="B9" s="28" t="s">
        <v>967</v>
      </c>
      <c r="C9" s="39" t="n">
        <v>7</v>
      </c>
      <c r="D9" s="28" t="s">
        <v>968</v>
      </c>
      <c r="E9" s="40" t="s">
        <v>969</v>
      </c>
      <c r="F9" s="41" t="s">
        <v>970</v>
      </c>
      <c r="G9" s="42" t="s">
        <v>973</v>
      </c>
      <c r="H9" s="28" t="s">
        <v>974</v>
      </c>
    </row>
    <row r="10" customFormat="false" ht="55.5" hidden="false" customHeight="true" outlineLevel="0" collapsed="false">
      <c r="A10" s="28" t="s">
        <v>962</v>
      </c>
      <c r="B10" s="28" t="s">
        <v>967</v>
      </c>
      <c r="C10" s="39" t="n">
        <v>6</v>
      </c>
      <c r="D10" s="28" t="s">
        <v>975</v>
      </c>
      <c r="E10" s="40" t="s">
        <v>976</v>
      </c>
      <c r="F10" s="41" t="s">
        <v>970</v>
      </c>
      <c r="G10" s="42" t="s">
        <v>958</v>
      </c>
      <c r="H10" s="28" t="s">
        <v>977</v>
      </c>
    </row>
    <row r="13" customFormat="false" ht="48" hidden="false" customHeight="true" outlineLevel="0" collapsed="false">
      <c r="A13" s="44" t="s">
        <v>978</v>
      </c>
      <c r="B13" s="44"/>
      <c r="C13" s="44"/>
      <c r="D13" s="44"/>
      <c r="E13" s="44"/>
      <c r="F13" s="44"/>
      <c r="G13" s="44"/>
      <c r="H13" s="44"/>
    </row>
  </sheetData>
  <mergeCells count="3">
    <mergeCell ref="A1:H1"/>
    <mergeCell ref="A2:H2"/>
    <mergeCell ref="A13:H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4C75"/>
    <pageSetUpPr fitToPage="false"/>
  </sheetPr>
  <dimension ref="A1:J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3" min="2" style="1" width="14"/>
    <col collapsed="false" customWidth="true" hidden="false" outlineLevel="0" max="4" min="4" style="1" width="12"/>
    <col collapsed="false" customWidth="true" hidden="false" outlineLevel="0" max="5" min="5" style="1" width="16"/>
    <col collapsed="false" customWidth="true" hidden="false" outlineLevel="0" max="8" min="6" style="1" width="22"/>
    <col collapsed="false" customWidth="true" hidden="false" outlineLevel="0" max="9" min="9" style="1" width="36"/>
    <col collapsed="false" customWidth="true" hidden="false" outlineLevel="0" max="10" min="10" style="1" width="16"/>
  </cols>
  <sheetData>
    <row r="1" customFormat="false" ht="27.75" hidden="false" customHeight="true" outlineLevel="0" collapsed="false">
      <c r="A1" s="24" t="s">
        <v>979</v>
      </c>
      <c r="B1" s="24"/>
      <c r="C1" s="24"/>
      <c r="D1" s="24"/>
      <c r="E1" s="24"/>
      <c r="F1" s="24"/>
      <c r="G1" s="24"/>
      <c r="H1" s="24"/>
      <c r="I1" s="24"/>
      <c r="J1" s="24"/>
    </row>
    <row r="2" customFormat="false" ht="19.5" hidden="false" customHeight="true" outlineLevel="0" collapsed="false">
      <c r="A2" s="25" t="s">
        <v>980</v>
      </c>
      <c r="B2" s="25"/>
      <c r="C2" s="25"/>
      <c r="D2" s="25"/>
      <c r="E2" s="25"/>
      <c r="F2" s="25"/>
      <c r="G2" s="25"/>
      <c r="H2" s="25"/>
      <c r="I2" s="25"/>
      <c r="J2" s="25"/>
    </row>
    <row r="4" customFormat="false" ht="21.75" hidden="false" customHeight="true" outlineLevel="0" collapsed="false">
      <c r="A4" s="4" t="s">
        <v>981</v>
      </c>
      <c r="B4" s="4"/>
      <c r="C4" s="4"/>
      <c r="D4" s="4"/>
      <c r="E4" s="4"/>
      <c r="F4" s="4"/>
      <c r="G4" s="4"/>
      <c r="H4" s="4"/>
      <c r="I4" s="4"/>
      <c r="J4" s="4"/>
    </row>
    <row r="5" customFormat="false" ht="27.75" hidden="false" customHeight="true" outlineLevel="0" collapsed="false">
      <c r="A5" s="7" t="s">
        <v>245</v>
      </c>
      <c r="B5" s="7" t="s">
        <v>602</v>
      </c>
      <c r="C5" s="7" t="s">
        <v>610</v>
      </c>
      <c r="D5" s="7" t="s">
        <v>614</v>
      </c>
      <c r="E5" s="7" t="s">
        <v>982</v>
      </c>
      <c r="F5" s="7" t="s">
        <v>983</v>
      </c>
      <c r="G5" s="7" t="s">
        <v>984</v>
      </c>
      <c r="H5" s="7" t="s">
        <v>985</v>
      </c>
      <c r="I5" s="7" t="s">
        <v>138</v>
      </c>
      <c r="J5" s="7" t="s">
        <v>13</v>
      </c>
    </row>
    <row r="6" customFormat="false" ht="31.5" hidden="false" customHeight="true" outlineLevel="0" collapsed="false">
      <c r="A6" s="28" t="s">
        <v>986</v>
      </c>
      <c r="B6" s="9" t="n">
        <f aca="false">COUNTIF(Claude_V1_Relationships!E5:E14,"REASONING")</f>
        <v>10</v>
      </c>
      <c r="C6" s="9" t="n">
        <f aca="false">COUNTIF(ChatGPT_V1_Relationships!E5:E32,"REASONING")</f>
        <v>7</v>
      </c>
      <c r="D6" s="9" t="n">
        <f aca="false">COUNTIF(Gemini_V1_Relationships!E5:E9,"REASONING")</f>
        <v>5</v>
      </c>
      <c r="E6" s="41" t="s">
        <v>677</v>
      </c>
      <c r="F6" s="28" t="s">
        <v>987</v>
      </c>
      <c r="G6" s="45" t="s">
        <v>988</v>
      </c>
      <c r="H6" s="38" t="s">
        <v>989</v>
      </c>
      <c r="I6" s="28" t="s">
        <v>990</v>
      </c>
      <c r="J6" s="28" t="s">
        <v>991</v>
      </c>
    </row>
    <row r="7" customFormat="false" ht="31.5" hidden="false" customHeight="true" outlineLevel="0" collapsed="false">
      <c r="A7" s="28" t="s">
        <v>992</v>
      </c>
      <c r="B7" s="9" t="n">
        <f aca="false">COUNTIF(Claude_V1_Relationships!E5:E14,"FEATURE_DESC")</f>
        <v>0</v>
      </c>
      <c r="C7" s="9" t="n">
        <f aca="false">COUNTIF(ChatGPT_V1_Relationships!E5:E32,"FEATURE_DESC")</f>
        <v>21</v>
      </c>
      <c r="D7" s="9" t="n">
        <f aca="false">COUNTIF(Gemini_V1_Relationships!E5:E9,"FEATURE_DESC")</f>
        <v>0</v>
      </c>
      <c r="E7" s="41" t="s">
        <v>993</v>
      </c>
      <c r="F7" s="28" t="s">
        <v>994</v>
      </c>
      <c r="G7" s="28" t="s">
        <v>995</v>
      </c>
      <c r="H7" s="28" t="s">
        <v>994</v>
      </c>
      <c r="I7" s="28" t="s">
        <v>996</v>
      </c>
      <c r="J7" s="28" t="s">
        <v>43</v>
      </c>
    </row>
    <row r="8" customFormat="false" ht="31.5" hidden="false" customHeight="true" outlineLevel="0" collapsed="false">
      <c r="A8" s="28" t="s">
        <v>997</v>
      </c>
      <c r="B8" s="9" t="n">
        <v>3</v>
      </c>
      <c r="C8" s="9" t="n">
        <v>3</v>
      </c>
      <c r="D8" s="9" t="n">
        <v>2</v>
      </c>
      <c r="E8" s="41" t="s">
        <v>367</v>
      </c>
      <c r="F8" s="28" t="s">
        <v>998</v>
      </c>
      <c r="G8" s="28" t="s">
        <v>998</v>
      </c>
      <c r="H8" s="38" t="s">
        <v>999</v>
      </c>
      <c r="I8" s="28" t="s">
        <v>54</v>
      </c>
      <c r="J8" s="28" t="s">
        <v>1000</v>
      </c>
    </row>
    <row r="9" customFormat="false" ht="31.5" hidden="false" customHeight="true" outlineLevel="0" collapsed="false">
      <c r="A9" s="28" t="s">
        <v>1001</v>
      </c>
      <c r="B9" s="9" t="n">
        <v>13</v>
      </c>
      <c r="C9" s="9" t="n">
        <v>27</v>
      </c>
      <c r="D9" s="9" t="n">
        <v>2</v>
      </c>
      <c r="E9" s="41" t="s">
        <v>1002</v>
      </c>
      <c r="F9" s="28" t="s">
        <v>1003</v>
      </c>
      <c r="G9" s="28" t="s">
        <v>1004</v>
      </c>
      <c r="H9" s="28" t="s">
        <v>1005</v>
      </c>
      <c r="I9" s="28" t="s">
        <v>1006</v>
      </c>
      <c r="J9" s="28" t="s">
        <v>39</v>
      </c>
    </row>
    <row r="10" customFormat="false" ht="31.5" hidden="false" customHeight="true" outlineLevel="0" collapsed="false">
      <c r="A10" s="28" t="s">
        <v>1007</v>
      </c>
      <c r="B10" s="9" t="n">
        <v>12</v>
      </c>
      <c r="C10" s="9" t="n">
        <v>13</v>
      </c>
      <c r="D10" s="9" t="n">
        <v>12</v>
      </c>
      <c r="E10" s="41" t="s">
        <v>1002</v>
      </c>
      <c r="F10" s="28" t="s">
        <v>1003</v>
      </c>
      <c r="G10" s="28" t="s">
        <v>1003</v>
      </c>
      <c r="H10" s="28" t="s">
        <v>1008</v>
      </c>
      <c r="I10" s="28" t="s">
        <v>1009</v>
      </c>
      <c r="J10" s="28" t="s">
        <v>39</v>
      </c>
    </row>
    <row r="11" customFormat="false" ht="31.5" hidden="false" customHeight="true" outlineLevel="0" collapsed="false">
      <c r="A11" s="28" t="s">
        <v>1010</v>
      </c>
      <c r="B11" s="9" t="s">
        <v>1011</v>
      </c>
      <c r="C11" s="9" t="s">
        <v>184</v>
      </c>
      <c r="D11" s="9" t="s">
        <v>187</v>
      </c>
      <c r="E11" s="41" t="s">
        <v>1012</v>
      </c>
      <c r="F11" s="28" t="s">
        <v>1003</v>
      </c>
      <c r="G11" s="28" t="s">
        <v>1013</v>
      </c>
      <c r="H11" s="28" t="s">
        <v>1014</v>
      </c>
      <c r="I11" s="9" t="s">
        <v>1015</v>
      </c>
      <c r="J11" s="28" t="s">
        <v>64</v>
      </c>
    </row>
    <row r="12" customFormat="false" ht="31.5" hidden="false" customHeight="true" outlineLevel="0" collapsed="false">
      <c r="A12" s="28" t="s">
        <v>1016</v>
      </c>
      <c r="B12" s="46" t="n">
        <v>34</v>
      </c>
      <c r="C12" s="46" t="n">
        <v>68</v>
      </c>
      <c r="D12" s="46" t="n">
        <v>15</v>
      </c>
      <c r="E12" s="41" t="s">
        <v>1017</v>
      </c>
      <c r="F12" s="42" t="s">
        <v>1018</v>
      </c>
      <c r="G12" s="43" t="s">
        <v>1019</v>
      </c>
      <c r="H12" s="47" t="s">
        <v>1020</v>
      </c>
      <c r="I12" s="28" t="s">
        <v>1021</v>
      </c>
      <c r="J12" s="28" t="s">
        <v>64</v>
      </c>
    </row>
    <row r="14" customFormat="false" ht="21.75" hidden="false" customHeight="true" outlineLevel="0" collapsed="false">
      <c r="A14" s="4" t="s">
        <v>1022</v>
      </c>
      <c r="B14" s="4"/>
      <c r="C14" s="4"/>
      <c r="D14" s="4"/>
      <c r="E14" s="4"/>
      <c r="F14" s="4"/>
      <c r="G14" s="4"/>
      <c r="H14" s="4"/>
      <c r="I14" s="4"/>
      <c r="J14" s="4"/>
    </row>
    <row r="15" customFormat="false" ht="27.75" hidden="false" customHeight="true" outlineLevel="0" collapsed="false">
      <c r="A15" s="7" t="s">
        <v>245</v>
      </c>
      <c r="B15" s="7" t="s">
        <v>602</v>
      </c>
      <c r="C15" s="7" t="s">
        <v>610</v>
      </c>
      <c r="D15" s="7" t="s">
        <v>614</v>
      </c>
      <c r="E15" s="7" t="s">
        <v>1023</v>
      </c>
      <c r="F15" s="7" t="s">
        <v>983</v>
      </c>
      <c r="G15" s="7" t="s">
        <v>984</v>
      </c>
      <c r="H15" s="7" t="s">
        <v>985</v>
      </c>
      <c r="I15" s="7" t="s">
        <v>138</v>
      </c>
      <c r="J15" s="7" t="s">
        <v>13</v>
      </c>
    </row>
    <row r="16" customFormat="false" ht="31.5" hidden="false" customHeight="true" outlineLevel="0" collapsed="false">
      <c r="A16" s="28" t="s">
        <v>986</v>
      </c>
      <c r="B16" s="9" t="n">
        <v>18</v>
      </c>
      <c r="C16" s="9" t="n">
        <v>24</v>
      </c>
      <c r="D16" s="9" t="n">
        <v>21</v>
      </c>
      <c r="E16" s="41" t="s">
        <v>856</v>
      </c>
      <c r="F16" s="28" t="s">
        <v>1024</v>
      </c>
      <c r="G16" s="28" t="s">
        <v>1025</v>
      </c>
      <c r="H16" s="28" t="s">
        <v>1026</v>
      </c>
      <c r="I16" s="28" t="s">
        <v>990</v>
      </c>
      <c r="J16" s="28" t="s">
        <v>1027</v>
      </c>
    </row>
    <row r="17" customFormat="false" ht="31.5" hidden="false" customHeight="true" outlineLevel="0" collapsed="false">
      <c r="A17" s="28" t="s">
        <v>1028</v>
      </c>
      <c r="B17" s="9" t="n">
        <v>0</v>
      </c>
      <c r="C17" s="9" t="n">
        <v>6</v>
      </c>
      <c r="D17" s="9" t="n">
        <v>0</v>
      </c>
      <c r="E17" s="41" t="s">
        <v>1029</v>
      </c>
      <c r="F17" s="28" t="s">
        <v>1030</v>
      </c>
      <c r="G17" s="28" t="s">
        <v>1031</v>
      </c>
      <c r="H17" s="28" t="s">
        <v>1030</v>
      </c>
      <c r="I17" s="28" t="s">
        <v>1032</v>
      </c>
      <c r="J17" s="28" t="s">
        <v>49</v>
      </c>
    </row>
    <row r="18" customFormat="false" ht="31.5" hidden="false" customHeight="true" outlineLevel="0" collapsed="false">
      <c r="A18" s="28" t="s">
        <v>997</v>
      </c>
      <c r="B18" s="9" t="n">
        <v>7</v>
      </c>
      <c r="C18" s="9" t="n">
        <v>7</v>
      </c>
      <c r="D18" s="9" t="n">
        <v>6</v>
      </c>
      <c r="E18" s="41" t="s">
        <v>970</v>
      </c>
      <c r="F18" s="28" t="s">
        <v>1033</v>
      </c>
      <c r="G18" s="28" t="s">
        <v>1034</v>
      </c>
      <c r="H18" s="28" t="s">
        <v>1035</v>
      </c>
      <c r="I18" s="28" t="s">
        <v>54</v>
      </c>
      <c r="J18" s="28" t="s">
        <v>56</v>
      </c>
    </row>
    <row r="19" customFormat="false" ht="31.5" hidden="false" customHeight="true" outlineLevel="0" collapsed="false">
      <c r="A19" s="28" t="s">
        <v>1001</v>
      </c>
      <c r="B19" s="9" t="n">
        <v>17</v>
      </c>
      <c r="C19" s="9" t="n">
        <v>22</v>
      </c>
      <c r="D19" s="9" t="n">
        <v>19</v>
      </c>
      <c r="E19" s="41" t="s">
        <v>1036</v>
      </c>
      <c r="F19" s="28" t="s">
        <v>1003</v>
      </c>
      <c r="G19" s="28" t="s">
        <v>1037</v>
      </c>
      <c r="H19" s="28" t="s">
        <v>1003</v>
      </c>
      <c r="I19" s="28" t="s">
        <v>1006</v>
      </c>
      <c r="J19" s="28" t="s">
        <v>49</v>
      </c>
    </row>
    <row r="20" customFormat="false" ht="31.5" hidden="false" customHeight="true" outlineLevel="0" collapsed="false">
      <c r="A20" s="28" t="s">
        <v>1007</v>
      </c>
      <c r="B20" s="9" t="n">
        <v>4</v>
      </c>
      <c r="C20" s="9" t="n">
        <v>5</v>
      </c>
      <c r="D20" s="9" t="n">
        <v>4</v>
      </c>
      <c r="E20" s="41" t="s">
        <v>1038</v>
      </c>
      <c r="F20" s="28" t="s">
        <v>1003</v>
      </c>
      <c r="G20" s="28" t="s">
        <v>1003</v>
      </c>
      <c r="H20" s="28" t="s">
        <v>1003</v>
      </c>
      <c r="I20" s="28" t="s">
        <v>1039</v>
      </c>
      <c r="J20" s="28" t="s">
        <v>49</v>
      </c>
    </row>
    <row r="21" customFormat="false" ht="31.5" hidden="false" customHeight="true" outlineLevel="0" collapsed="false">
      <c r="A21" s="28" t="s">
        <v>1010</v>
      </c>
      <c r="B21" s="9" t="s">
        <v>1040</v>
      </c>
      <c r="C21" s="9" t="s">
        <v>1041</v>
      </c>
      <c r="D21" s="9" t="s">
        <v>1042</v>
      </c>
      <c r="E21" s="41" t="s">
        <v>1043</v>
      </c>
      <c r="F21" s="28" t="s">
        <v>1003</v>
      </c>
      <c r="G21" s="28" t="s">
        <v>1037</v>
      </c>
      <c r="H21" s="28" t="s">
        <v>1003</v>
      </c>
      <c r="I21" s="9" t="s">
        <v>1015</v>
      </c>
      <c r="J21" s="28" t="s">
        <v>64</v>
      </c>
    </row>
    <row r="22" customFormat="false" ht="31.5" hidden="false" customHeight="true" outlineLevel="0" collapsed="false">
      <c r="A22" s="28" t="s">
        <v>1016</v>
      </c>
      <c r="B22" s="46" t="n">
        <v>72</v>
      </c>
      <c r="C22" s="46" t="n">
        <v>90</v>
      </c>
      <c r="D22" s="46" t="n">
        <v>88</v>
      </c>
      <c r="E22" s="41" t="s">
        <v>1044</v>
      </c>
      <c r="F22" s="42" t="s">
        <v>1018</v>
      </c>
      <c r="G22" s="43" t="s">
        <v>1019</v>
      </c>
      <c r="H22" s="43" t="s">
        <v>1019</v>
      </c>
      <c r="I22" s="28" t="s">
        <v>1021</v>
      </c>
      <c r="J22" s="28" t="s">
        <v>64</v>
      </c>
    </row>
  </sheetData>
  <mergeCells count="4">
    <mergeCell ref="A1:J1"/>
    <mergeCell ref="A2:J2"/>
    <mergeCell ref="A4:J4"/>
    <mergeCell ref="A14:J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4C75"/>
    <pageSetUpPr fitToPage="false"/>
  </sheetPr>
  <dimension ref="A1: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14"/>
    <col collapsed="false" customWidth="true" hidden="false" outlineLevel="0" max="3" min="3" style="1" width="20"/>
    <col collapsed="false" customWidth="true" hidden="false" outlineLevel="0" max="6" min="4" style="1" width="10"/>
    <col collapsed="false" customWidth="true" hidden="false" outlineLevel="0" max="7" min="7" style="1" width="14"/>
    <col collapsed="false" customWidth="true" hidden="false" outlineLevel="0" max="8" min="8" style="1" width="20"/>
  </cols>
  <sheetData>
    <row r="1" customFormat="false" ht="27.75" hidden="false" customHeight="true" outlineLevel="0" collapsed="false">
      <c r="A1" s="24" t="s">
        <v>1045</v>
      </c>
      <c r="B1" s="24"/>
      <c r="C1" s="24"/>
      <c r="D1" s="24"/>
      <c r="E1" s="24"/>
      <c r="F1" s="24"/>
      <c r="G1" s="24"/>
      <c r="H1" s="24"/>
    </row>
    <row r="3" customFormat="false" ht="27.75" hidden="false" customHeight="true" outlineLevel="0" collapsed="false">
      <c r="A3" s="7" t="s">
        <v>594</v>
      </c>
      <c r="B3" s="7" t="s">
        <v>1046</v>
      </c>
      <c r="C3" s="7" t="s">
        <v>592</v>
      </c>
      <c r="D3" s="7" t="s">
        <v>1047</v>
      </c>
      <c r="E3" s="7" t="s">
        <v>1048</v>
      </c>
      <c r="F3" s="7" t="s">
        <v>1049</v>
      </c>
      <c r="G3" s="7" t="s">
        <v>952</v>
      </c>
      <c r="H3" s="7" t="s">
        <v>1050</v>
      </c>
    </row>
    <row r="4" customFormat="false" ht="27.75" hidden="false" customHeight="true" outlineLevel="0" collapsed="false">
      <c r="A4" s="28" t="s">
        <v>604</v>
      </c>
      <c r="B4" s="28" t="s">
        <v>1051</v>
      </c>
      <c r="C4" s="28" t="s">
        <v>954</v>
      </c>
      <c r="D4" s="46" t="n">
        <v>34</v>
      </c>
      <c r="E4" s="48" t="n">
        <v>25</v>
      </c>
      <c r="F4" s="48" t="n">
        <v>40</v>
      </c>
      <c r="G4" s="42" t="str">
        <f aca="false">IF(AND(D4&gt;=25,D4&lt;=40),"YES","NO")</f>
        <v>YES</v>
      </c>
      <c r="H4" s="28" t="n">
        <f aca="false">D4-((25+40)/2)</f>
        <v>1.5</v>
      </c>
    </row>
    <row r="5" customFormat="false" ht="27.75" hidden="false" customHeight="true" outlineLevel="0" collapsed="false">
      <c r="A5" s="28" t="s">
        <v>604</v>
      </c>
      <c r="B5" s="28" t="s">
        <v>1051</v>
      </c>
      <c r="C5" s="28" t="s">
        <v>960</v>
      </c>
      <c r="D5" s="46" t="n">
        <v>68</v>
      </c>
      <c r="E5" s="48" t="n">
        <v>25</v>
      </c>
      <c r="F5" s="48" t="n">
        <v>40</v>
      </c>
      <c r="G5" s="43" t="str">
        <f aca="false">IF(AND(D5&gt;=25,D5&lt;=40),"YES","NO")</f>
        <v>NO</v>
      </c>
      <c r="H5" s="28" t="n">
        <f aca="false">D5-((25+40)/2)</f>
        <v>35.5</v>
      </c>
    </row>
    <row r="6" customFormat="false" ht="27.75" hidden="false" customHeight="true" outlineLevel="0" collapsed="false">
      <c r="A6" s="28" t="s">
        <v>604</v>
      </c>
      <c r="B6" s="28" t="s">
        <v>1051</v>
      </c>
      <c r="C6" s="28" t="s">
        <v>962</v>
      </c>
      <c r="D6" s="46" t="n">
        <v>15</v>
      </c>
      <c r="E6" s="48" t="n">
        <v>25</v>
      </c>
      <c r="F6" s="48" t="n">
        <v>40</v>
      </c>
      <c r="G6" s="43" t="str">
        <f aca="false">IF(AND(D6&gt;=25,D6&lt;=40),"YES","NO")</f>
        <v>NO</v>
      </c>
      <c r="H6" s="28" t="n">
        <f aca="false">D6-((25+40)/2)</f>
        <v>-17.5</v>
      </c>
    </row>
    <row r="7" customFormat="false" ht="27.75" hidden="false" customHeight="true" outlineLevel="0" collapsed="false">
      <c r="A7" s="28" t="s">
        <v>1052</v>
      </c>
      <c r="B7" s="28" t="s">
        <v>1053</v>
      </c>
      <c r="C7" s="28" t="s">
        <v>954</v>
      </c>
      <c r="D7" s="46" t="n">
        <v>72</v>
      </c>
      <c r="E7" s="48" t="n">
        <v>65</v>
      </c>
      <c r="F7" s="48" t="n">
        <v>80</v>
      </c>
      <c r="G7" s="42" t="str">
        <f aca="false">IF(AND(D7&gt;=65,D7&lt;=80),"YES","NO")</f>
        <v>YES</v>
      </c>
      <c r="H7" s="28" t="n">
        <f aca="false">D7-((65+80)/2)</f>
        <v>-0.5</v>
      </c>
    </row>
    <row r="8" customFormat="false" ht="27.75" hidden="false" customHeight="true" outlineLevel="0" collapsed="false">
      <c r="A8" s="28" t="s">
        <v>1052</v>
      </c>
      <c r="B8" s="28" t="s">
        <v>1053</v>
      </c>
      <c r="C8" s="28" t="s">
        <v>960</v>
      </c>
      <c r="D8" s="46" t="n">
        <v>90</v>
      </c>
      <c r="E8" s="48" t="n">
        <v>65</v>
      </c>
      <c r="F8" s="48" t="n">
        <v>80</v>
      </c>
      <c r="G8" s="43" t="str">
        <f aca="false">IF(AND(D8&gt;=65,D8&lt;=80),"YES","NO")</f>
        <v>NO</v>
      </c>
      <c r="H8" s="28" t="n">
        <f aca="false">D8-((65+80)/2)</f>
        <v>17.5</v>
      </c>
    </row>
    <row r="9" customFormat="false" ht="27.75" hidden="false" customHeight="true" outlineLevel="0" collapsed="false">
      <c r="A9" s="28" t="s">
        <v>1052</v>
      </c>
      <c r="B9" s="28" t="s">
        <v>1053</v>
      </c>
      <c r="C9" s="28" t="s">
        <v>962</v>
      </c>
      <c r="D9" s="46" t="n">
        <v>88</v>
      </c>
      <c r="E9" s="48" t="n">
        <v>65</v>
      </c>
      <c r="F9" s="48" t="n">
        <v>80</v>
      </c>
      <c r="G9" s="43" t="str">
        <f aca="false">IF(AND(D9&gt;=65,D9&lt;=80),"YES","NO")</f>
        <v>NO</v>
      </c>
      <c r="H9" s="28" t="n">
        <f aca="false">D9-((65+80)/2)</f>
        <v>15.5</v>
      </c>
    </row>
    <row r="11" customFormat="false" ht="36" hidden="false" customHeight="true" outlineLevel="0" collapsed="false">
      <c r="A11" s="49" t="s">
        <v>1054</v>
      </c>
      <c r="B11" s="50" t="s">
        <v>1055</v>
      </c>
      <c r="C11" s="50"/>
      <c r="D11" s="50"/>
      <c r="E11" s="50"/>
      <c r="F11" s="50"/>
      <c r="G11" s="50"/>
      <c r="H11" s="50"/>
    </row>
  </sheetData>
  <mergeCells count="2">
    <mergeCell ref="A1:H1"/>
    <mergeCell ref="B11:H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4C75"/>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3" min="2" style="1" width="18"/>
    <col collapsed="false" customWidth="true" hidden="false" outlineLevel="0" max="4" min="4" style="1" width="16"/>
    <col collapsed="false" customWidth="true" hidden="false" outlineLevel="0" max="5" min="5" style="1" width="18"/>
    <col collapsed="false" customWidth="true" hidden="false" outlineLevel="0" max="6" min="6" style="1" width="56"/>
    <col collapsed="false" customWidth="true" hidden="false" outlineLevel="0" max="7" min="7" style="1" width="14"/>
  </cols>
  <sheetData>
    <row r="1" customFormat="false" ht="27.75" hidden="false" customHeight="true" outlineLevel="0" collapsed="false">
      <c r="A1" s="24" t="s">
        <v>1056</v>
      </c>
      <c r="B1" s="24"/>
      <c r="C1" s="24"/>
      <c r="D1" s="24"/>
      <c r="E1" s="24"/>
      <c r="F1" s="24"/>
      <c r="G1" s="24"/>
    </row>
    <row r="2" customFormat="false" ht="19.5" hidden="false" customHeight="true" outlineLevel="0" collapsed="false">
      <c r="A2" s="25" t="s">
        <v>1057</v>
      </c>
      <c r="B2" s="25"/>
      <c r="C2" s="25"/>
      <c r="D2" s="25"/>
      <c r="E2" s="25"/>
      <c r="F2" s="25"/>
      <c r="G2" s="25"/>
    </row>
    <row r="4" customFormat="false" ht="27.75" hidden="false" customHeight="true" outlineLevel="0" collapsed="false">
      <c r="A4" s="7" t="s">
        <v>592</v>
      </c>
      <c r="B4" s="7" t="s">
        <v>1058</v>
      </c>
      <c r="C4" s="7" t="s">
        <v>1059</v>
      </c>
      <c r="D4" s="7" t="s">
        <v>1060</v>
      </c>
      <c r="E4" s="7" t="s">
        <v>1061</v>
      </c>
      <c r="F4" s="7" t="s">
        <v>1062</v>
      </c>
      <c r="G4" s="7" t="s">
        <v>13</v>
      </c>
    </row>
    <row r="5" customFormat="false" ht="36" hidden="false" customHeight="true" outlineLevel="0" collapsed="false">
      <c r="A5" s="28" t="s">
        <v>954</v>
      </c>
      <c r="B5" s="46" t="n">
        <v>34</v>
      </c>
      <c r="C5" s="46" t="n">
        <v>72</v>
      </c>
      <c r="D5" s="51" t="n">
        <f aca="false">C5-B5</f>
        <v>38</v>
      </c>
      <c r="E5" s="42" t="str">
        <f aca="false">IF(D5&gt;0,"YES - CONFIRMED","FAILED")</f>
        <v>YES - CONFIRMED</v>
      </c>
      <c r="F5" s="28" t="s">
        <v>1063</v>
      </c>
      <c r="G5" s="28" t="s">
        <v>1064</v>
      </c>
    </row>
    <row r="6" customFormat="false" ht="36" hidden="false" customHeight="true" outlineLevel="0" collapsed="false">
      <c r="A6" s="28" t="s">
        <v>960</v>
      </c>
      <c r="B6" s="46" t="n">
        <v>68</v>
      </c>
      <c r="C6" s="46" t="n">
        <v>90</v>
      </c>
      <c r="D6" s="51" t="n">
        <f aca="false">C6-B6</f>
        <v>22</v>
      </c>
      <c r="E6" s="42" t="str">
        <f aca="false">IF(D6&gt;0,"YES - CONFIRMED","FAILED")</f>
        <v>YES - CONFIRMED</v>
      </c>
      <c r="F6" s="28" t="s">
        <v>1065</v>
      </c>
      <c r="G6" s="28" t="s">
        <v>1064</v>
      </c>
    </row>
    <row r="7" customFormat="false" ht="36" hidden="false" customHeight="true" outlineLevel="0" collapsed="false">
      <c r="A7" s="28" t="s">
        <v>962</v>
      </c>
      <c r="B7" s="46" t="n">
        <v>15</v>
      </c>
      <c r="C7" s="46" t="n">
        <v>88</v>
      </c>
      <c r="D7" s="51" t="n">
        <f aca="false">C7-B7</f>
        <v>73</v>
      </c>
      <c r="E7" s="42" t="str">
        <f aca="false">IF(D7&gt;0,"YES - CONFIRMED","FAILED")</f>
        <v>YES - CONFIRMED</v>
      </c>
      <c r="F7" s="28" t="s">
        <v>1066</v>
      </c>
      <c r="G7" s="28" t="s">
        <v>1064</v>
      </c>
    </row>
    <row r="9" customFormat="false" ht="15" hidden="false" customHeight="true" outlineLevel="0" collapsed="false">
      <c r="A9" s="49" t="s">
        <v>1067</v>
      </c>
      <c r="B9" s="52" t="str">
        <f aca="false">IF(COUNTIF(E5:E7,"YES - CONFIRMED")=3,"ALL 3 CONFIRMED","CHECK")</f>
        <v>ALL 3 CONFIRMED</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C2D12"/>
    <pageSetUpPr fitToPage="false"/>
  </sheetPr>
  <dimension ref="A1:G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3" topLeftCell="A1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3" min="2" style="1" width="14"/>
    <col collapsed="false" customWidth="true" hidden="false" outlineLevel="0" max="6" min="4" style="1" width="10"/>
    <col collapsed="false" customWidth="true" hidden="false" outlineLevel="0" max="7" min="7" style="1" width="62"/>
  </cols>
  <sheetData>
    <row r="1" customFormat="false" ht="30" hidden="false" customHeight="true" outlineLevel="0" collapsed="false">
      <c r="A1" s="10" t="s">
        <v>1068</v>
      </c>
      <c r="B1" s="10"/>
      <c r="C1" s="10"/>
      <c r="D1" s="10"/>
      <c r="E1" s="10"/>
      <c r="F1" s="10"/>
      <c r="G1" s="10"/>
    </row>
    <row r="2" customFormat="false" ht="15.75" hidden="false" customHeight="true" outlineLevel="0" collapsed="false">
      <c r="A2" s="3" t="s">
        <v>1069</v>
      </c>
      <c r="B2" s="3"/>
      <c r="C2" s="3"/>
      <c r="D2" s="3"/>
      <c r="E2" s="3"/>
      <c r="F2" s="3"/>
      <c r="G2" s="3"/>
    </row>
    <row r="3" customFormat="false" ht="24" hidden="false" customHeight="true" outlineLevel="0" collapsed="false">
      <c r="A3" s="11" t="s">
        <v>1070</v>
      </c>
      <c r="B3" s="11"/>
      <c r="C3" s="11"/>
      <c r="D3" s="11"/>
      <c r="E3" s="11"/>
      <c r="F3" s="11"/>
      <c r="G3" s="11"/>
    </row>
    <row r="4" customFormat="false" ht="24" hidden="false" customHeight="true" outlineLevel="0" collapsed="false">
      <c r="A4" s="11" t="s">
        <v>1071</v>
      </c>
      <c r="B4" s="11"/>
      <c r="C4" s="11"/>
      <c r="D4" s="11"/>
      <c r="E4" s="11"/>
      <c r="F4" s="11"/>
      <c r="G4" s="11"/>
    </row>
    <row r="5" customFormat="false" ht="24" hidden="false" customHeight="true" outlineLevel="0" collapsed="false">
      <c r="A5" s="11" t="s">
        <v>1072</v>
      </c>
      <c r="B5" s="11"/>
      <c r="C5" s="11"/>
      <c r="D5" s="11"/>
      <c r="E5" s="11"/>
      <c r="F5" s="11"/>
      <c r="G5" s="11"/>
    </row>
    <row r="6" customFormat="false" ht="24" hidden="false" customHeight="true" outlineLevel="0" collapsed="false">
      <c r="A6" s="11" t="s">
        <v>1073</v>
      </c>
      <c r="B6" s="11"/>
      <c r="C6" s="11"/>
      <c r="D6" s="11"/>
      <c r="E6" s="11"/>
      <c r="F6" s="11"/>
      <c r="G6" s="11"/>
    </row>
    <row r="8" customFormat="false" ht="21.75" hidden="false" customHeight="true" outlineLevel="0" collapsed="false">
      <c r="A8" s="4" t="s">
        <v>1074</v>
      </c>
      <c r="B8" s="4"/>
      <c r="C8" s="4"/>
      <c r="D8" s="4"/>
      <c r="E8" s="4"/>
      <c r="F8" s="4"/>
      <c r="G8" s="4"/>
    </row>
    <row r="9" customFormat="false" ht="51.75" hidden="false" customHeight="true" outlineLevel="0" collapsed="false">
      <c r="A9" s="53" t="s">
        <v>1075</v>
      </c>
      <c r="B9" s="54" t="s">
        <v>1076</v>
      </c>
      <c r="C9" s="54"/>
      <c r="D9" s="54"/>
      <c r="E9" s="54"/>
      <c r="F9" s="54"/>
      <c r="G9" s="54"/>
    </row>
    <row r="10" customFormat="false" ht="51.75" hidden="false" customHeight="true" outlineLevel="0" collapsed="false">
      <c r="A10" s="55" t="s">
        <v>1077</v>
      </c>
      <c r="B10" s="54" t="s">
        <v>1078</v>
      </c>
      <c r="C10" s="54"/>
      <c r="D10" s="54"/>
      <c r="E10" s="54"/>
      <c r="F10" s="54"/>
      <c r="G10" s="54"/>
    </row>
    <row r="12" customFormat="false" ht="21.75" hidden="false" customHeight="true" outlineLevel="0" collapsed="false">
      <c r="A12" s="4" t="s">
        <v>1079</v>
      </c>
      <c r="B12" s="4"/>
      <c r="C12" s="4"/>
      <c r="D12" s="4"/>
      <c r="E12" s="4"/>
      <c r="F12" s="4"/>
      <c r="G12" s="4"/>
    </row>
    <row r="13" customFormat="false" ht="27.75" hidden="false" customHeight="true" outlineLevel="0" collapsed="false">
      <c r="A13" s="7" t="s">
        <v>1080</v>
      </c>
      <c r="B13" s="7" t="s">
        <v>594</v>
      </c>
      <c r="C13" s="7" t="s">
        <v>1081</v>
      </c>
      <c r="D13" s="7" t="s">
        <v>602</v>
      </c>
      <c r="E13" s="7" t="s">
        <v>610</v>
      </c>
      <c r="F13" s="7" t="s">
        <v>614</v>
      </c>
      <c r="G13" s="7" t="s">
        <v>1082</v>
      </c>
    </row>
    <row r="14" customFormat="false" ht="79.5" hidden="false" customHeight="true" outlineLevel="0" collapsed="false">
      <c r="A14" s="56" t="s">
        <v>1083</v>
      </c>
      <c r="B14" s="40" t="s">
        <v>955</v>
      </c>
      <c r="C14" s="21" t="s">
        <v>640</v>
      </c>
      <c r="D14" s="57" t="s">
        <v>640</v>
      </c>
      <c r="E14" s="57" t="s">
        <v>640</v>
      </c>
      <c r="F14" s="57" t="s">
        <v>640</v>
      </c>
      <c r="G14" s="58" t="s">
        <v>1084</v>
      </c>
    </row>
    <row r="15" customFormat="false" ht="79.5" hidden="false" customHeight="true" outlineLevel="0" collapsed="false">
      <c r="A15" s="56" t="s">
        <v>1085</v>
      </c>
      <c r="B15" s="40" t="s">
        <v>955</v>
      </c>
      <c r="C15" s="21" t="s">
        <v>640</v>
      </c>
      <c r="D15" s="57" t="s">
        <v>640</v>
      </c>
      <c r="E15" s="57" t="s">
        <v>640</v>
      </c>
      <c r="F15" s="57" t="s">
        <v>640</v>
      </c>
      <c r="G15" s="58" t="s">
        <v>1086</v>
      </c>
    </row>
    <row r="16" customFormat="false" ht="79.5" hidden="false" customHeight="true" outlineLevel="0" collapsed="false">
      <c r="A16" s="56" t="s">
        <v>1087</v>
      </c>
      <c r="B16" s="40" t="s">
        <v>967</v>
      </c>
      <c r="C16" s="21" t="s">
        <v>640</v>
      </c>
      <c r="D16" s="57" t="s">
        <v>640</v>
      </c>
      <c r="E16" s="57" t="s">
        <v>640</v>
      </c>
      <c r="F16" s="57" t="s">
        <v>640</v>
      </c>
      <c r="G16" s="58" t="s">
        <v>1088</v>
      </c>
    </row>
    <row r="17" customFormat="false" ht="79.5" hidden="false" customHeight="true" outlineLevel="0" collapsed="false">
      <c r="A17" s="56" t="s">
        <v>1089</v>
      </c>
      <c r="B17" s="40" t="s">
        <v>967</v>
      </c>
      <c r="C17" s="21" t="s">
        <v>640</v>
      </c>
      <c r="D17" s="57" t="s">
        <v>640</v>
      </c>
      <c r="E17" s="57" t="s">
        <v>640</v>
      </c>
      <c r="F17" s="57" t="s">
        <v>640</v>
      </c>
      <c r="G17" s="58" t="s">
        <v>1090</v>
      </c>
    </row>
    <row r="18" customFormat="false" ht="79.5" hidden="false" customHeight="true" outlineLevel="0" collapsed="false">
      <c r="A18" s="56" t="s">
        <v>1091</v>
      </c>
      <c r="B18" s="40" t="s">
        <v>967</v>
      </c>
      <c r="C18" s="21" t="s">
        <v>640</v>
      </c>
      <c r="D18" s="57" t="s">
        <v>640</v>
      </c>
      <c r="E18" s="57" t="s">
        <v>640</v>
      </c>
      <c r="F18" s="57" t="s">
        <v>640</v>
      </c>
      <c r="G18" s="58" t="s">
        <v>1092</v>
      </c>
    </row>
    <row r="19" customFormat="false" ht="79.5" hidden="false" customHeight="true" outlineLevel="0" collapsed="false">
      <c r="A19" s="56" t="s">
        <v>1093</v>
      </c>
      <c r="B19" s="40" t="s">
        <v>967</v>
      </c>
      <c r="C19" s="21" t="s">
        <v>640</v>
      </c>
      <c r="D19" s="57" t="s">
        <v>640</v>
      </c>
      <c r="E19" s="57" t="s">
        <v>640</v>
      </c>
      <c r="F19" s="57" t="s">
        <v>640</v>
      </c>
      <c r="G19" s="58" t="s">
        <v>1094</v>
      </c>
    </row>
    <row r="20" customFormat="false" ht="79.5" hidden="false" customHeight="true" outlineLevel="0" collapsed="false">
      <c r="A20" s="56" t="s">
        <v>1095</v>
      </c>
      <c r="B20" s="40" t="s">
        <v>967</v>
      </c>
      <c r="C20" s="21" t="s">
        <v>640</v>
      </c>
      <c r="D20" s="57" t="s">
        <v>640</v>
      </c>
      <c r="E20" s="57" t="s">
        <v>640</v>
      </c>
      <c r="F20" s="57" t="s">
        <v>640</v>
      </c>
      <c r="G20" s="58" t="s">
        <v>1096</v>
      </c>
    </row>
    <row r="21" customFormat="false" ht="79.5" hidden="false" customHeight="true" outlineLevel="0" collapsed="false">
      <c r="A21" s="56" t="s">
        <v>1097</v>
      </c>
      <c r="B21" s="40" t="s">
        <v>955</v>
      </c>
      <c r="C21" s="16" t="s">
        <v>694</v>
      </c>
      <c r="D21" s="59" t="s">
        <v>694</v>
      </c>
      <c r="E21" s="35" t="s">
        <v>640</v>
      </c>
      <c r="F21" s="59" t="s">
        <v>694</v>
      </c>
      <c r="G21" s="60" t="s">
        <v>1098</v>
      </c>
    </row>
    <row r="22" customFormat="false" ht="79.5" hidden="false" customHeight="true" outlineLevel="0" collapsed="false">
      <c r="A22" s="56" t="s">
        <v>1099</v>
      </c>
      <c r="B22" s="40" t="s">
        <v>955</v>
      </c>
      <c r="C22" s="16" t="s">
        <v>694</v>
      </c>
      <c r="D22" s="59" t="s">
        <v>694</v>
      </c>
      <c r="E22" s="35" t="s">
        <v>640</v>
      </c>
      <c r="F22" s="59" t="s">
        <v>694</v>
      </c>
      <c r="G22" s="60" t="s">
        <v>1100</v>
      </c>
    </row>
    <row r="23" customFormat="false" ht="79.5" hidden="false" customHeight="true" outlineLevel="0" collapsed="false">
      <c r="A23" s="56" t="s">
        <v>1101</v>
      </c>
      <c r="B23" s="40" t="s">
        <v>955</v>
      </c>
      <c r="C23" s="16" t="s">
        <v>694</v>
      </c>
      <c r="D23" s="59" t="s">
        <v>694</v>
      </c>
      <c r="E23" s="35" t="s">
        <v>640</v>
      </c>
      <c r="F23" s="59" t="s">
        <v>694</v>
      </c>
      <c r="G23" s="60" t="s">
        <v>1102</v>
      </c>
    </row>
    <row r="24" customFormat="false" ht="79.5" hidden="false" customHeight="true" outlineLevel="0" collapsed="false">
      <c r="A24" s="56" t="s">
        <v>1103</v>
      </c>
      <c r="B24" s="40" t="s">
        <v>955</v>
      </c>
      <c r="C24" s="16" t="s">
        <v>694</v>
      </c>
      <c r="D24" s="59" t="s">
        <v>694</v>
      </c>
      <c r="E24" s="35" t="s">
        <v>640</v>
      </c>
      <c r="F24" s="59" t="s">
        <v>694</v>
      </c>
      <c r="G24" s="60" t="s">
        <v>1104</v>
      </c>
    </row>
    <row r="25" customFormat="false" ht="79.5" hidden="false" customHeight="true" outlineLevel="0" collapsed="false">
      <c r="A25" s="56" t="s">
        <v>1105</v>
      </c>
      <c r="B25" s="40" t="s">
        <v>955</v>
      </c>
      <c r="C25" s="16" t="s">
        <v>694</v>
      </c>
      <c r="D25" s="59" t="s">
        <v>694</v>
      </c>
      <c r="E25" s="35" t="s">
        <v>640</v>
      </c>
      <c r="F25" s="59" t="s">
        <v>694</v>
      </c>
      <c r="G25" s="60" t="s">
        <v>1106</v>
      </c>
    </row>
    <row r="26" customFormat="false" ht="79.5" hidden="false" customHeight="true" outlineLevel="0" collapsed="false">
      <c r="A26" s="56" t="s">
        <v>1107</v>
      </c>
      <c r="B26" s="40" t="s">
        <v>955</v>
      </c>
      <c r="C26" s="16" t="s">
        <v>694</v>
      </c>
      <c r="D26" s="59" t="s">
        <v>694</v>
      </c>
      <c r="E26" s="35" t="s">
        <v>640</v>
      </c>
      <c r="F26" s="59" t="s">
        <v>694</v>
      </c>
      <c r="G26" s="60" t="s">
        <v>1108</v>
      </c>
    </row>
    <row r="27" customFormat="false" ht="79.5" hidden="false" customHeight="true" outlineLevel="0" collapsed="false">
      <c r="A27" s="56" t="s">
        <v>1109</v>
      </c>
      <c r="B27" s="40" t="s">
        <v>955</v>
      </c>
      <c r="C27" s="21" t="s">
        <v>640</v>
      </c>
      <c r="D27" s="57" t="s">
        <v>640</v>
      </c>
      <c r="E27" s="57" t="s">
        <v>640</v>
      </c>
      <c r="F27" s="35" t="s">
        <v>694</v>
      </c>
      <c r="G27" s="60" t="s">
        <v>1110</v>
      </c>
    </row>
    <row r="28" customFormat="false" ht="79.5" hidden="false" customHeight="true" outlineLevel="0" collapsed="false">
      <c r="A28" s="56" t="s">
        <v>1111</v>
      </c>
      <c r="B28" s="40" t="s">
        <v>955</v>
      </c>
      <c r="C28" s="21" t="s">
        <v>640</v>
      </c>
      <c r="D28" s="57" t="s">
        <v>640</v>
      </c>
      <c r="E28" s="57" t="s">
        <v>640</v>
      </c>
      <c r="F28" s="35" t="s">
        <v>694</v>
      </c>
      <c r="G28" s="60" t="s">
        <v>1112</v>
      </c>
    </row>
    <row r="29" customFormat="false" ht="79.5" hidden="false" customHeight="true" outlineLevel="0" collapsed="false">
      <c r="A29" s="56" t="s">
        <v>1113</v>
      </c>
      <c r="B29" s="40" t="s">
        <v>955</v>
      </c>
      <c r="C29" s="21" t="s">
        <v>640</v>
      </c>
      <c r="D29" s="57" t="s">
        <v>640</v>
      </c>
      <c r="E29" s="57" t="s">
        <v>640</v>
      </c>
      <c r="F29" s="35" t="s">
        <v>694</v>
      </c>
      <c r="G29" s="60" t="s">
        <v>1114</v>
      </c>
    </row>
    <row r="30" customFormat="false" ht="79.5" hidden="false" customHeight="true" outlineLevel="0" collapsed="false">
      <c r="A30" s="56" t="s">
        <v>1115</v>
      </c>
      <c r="B30" s="40" t="s">
        <v>955</v>
      </c>
      <c r="C30" s="61" t="s">
        <v>664</v>
      </c>
      <c r="D30" s="35" t="s">
        <v>640</v>
      </c>
      <c r="E30" s="35" t="s">
        <v>640</v>
      </c>
      <c r="F30" s="35" t="s">
        <v>694</v>
      </c>
      <c r="G30" s="60" t="s">
        <v>1116</v>
      </c>
    </row>
    <row r="31" customFormat="false" ht="79.5" hidden="false" customHeight="true" outlineLevel="0" collapsed="false">
      <c r="A31" s="56" t="s">
        <v>1117</v>
      </c>
      <c r="B31" s="40" t="s">
        <v>955</v>
      </c>
      <c r="C31" s="61" t="s">
        <v>664</v>
      </c>
      <c r="D31" s="35" t="s">
        <v>640</v>
      </c>
      <c r="E31" s="35" t="s">
        <v>640</v>
      </c>
      <c r="F31" s="35" t="s">
        <v>694</v>
      </c>
      <c r="G31" s="60" t="s">
        <v>1118</v>
      </c>
    </row>
    <row r="32" customFormat="false" ht="79.5" hidden="false" customHeight="true" outlineLevel="0" collapsed="false">
      <c r="A32" s="56" t="s">
        <v>1119</v>
      </c>
      <c r="B32" s="40" t="s">
        <v>955</v>
      </c>
      <c r="C32" s="61" t="s">
        <v>664</v>
      </c>
      <c r="D32" s="35" t="s">
        <v>640</v>
      </c>
      <c r="E32" s="35" t="s">
        <v>640</v>
      </c>
      <c r="F32" s="35" t="s">
        <v>694</v>
      </c>
      <c r="G32" s="60" t="s">
        <v>1120</v>
      </c>
    </row>
    <row r="33" customFormat="false" ht="79.5" hidden="false" customHeight="true" outlineLevel="0" collapsed="false">
      <c r="A33" s="56" t="s">
        <v>1121</v>
      </c>
      <c r="B33" s="40" t="s">
        <v>967</v>
      </c>
      <c r="C33" s="21" t="s">
        <v>640</v>
      </c>
      <c r="D33" s="57" t="s">
        <v>640</v>
      </c>
      <c r="E33" s="57" t="s">
        <v>640</v>
      </c>
      <c r="F33" s="57" t="s">
        <v>640</v>
      </c>
      <c r="G33" s="58" t="s">
        <v>1122</v>
      </c>
    </row>
    <row r="34" customFormat="false" ht="79.5" hidden="false" customHeight="true" outlineLevel="0" collapsed="false">
      <c r="A34" s="56" t="s">
        <v>1123</v>
      </c>
      <c r="B34" s="40" t="s">
        <v>967</v>
      </c>
      <c r="C34" s="21" t="s">
        <v>640</v>
      </c>
      <c r="D34" s="57" t="s">
        <v>640</v>
      </c>
      <c r="E34" s="57" t="s">
        <v>640</v>
      </c>
      <c r="F34" s="57" t="s">
        <v>640</v>
      </c>
      <c r="G34" s="58" t="s">
        <v>1124</v>
      </c>
    </row>
    <row r="35" customFormat="false" ht="79.5" hidden="false" customHeight="true" outlineLevel="0" collapsed="false">
      <c r="A35" s="56" t="s">
        <v>1125</v>
      </c>
      <c r="B35" s="40" t="s">
        <v>967</v>
      </c>
      <c r="C35" s="61" t="s">
        <v>664</v>
      </c>
      <c r="D35" s="35" t="s">
        <v>694</v>
      </c>
      <c r="E35" s="35" t="s">
        <v>640</v>
      </c>
      <c r="F35" s="35" t="s">
        <v>694</v>
      </c>
      <c r="G35" s="60" t="s">
        <v>1126</v>
      </c>
    </row>
    <row r="36" customFormat="false" ht="79.5" hidden="false" customHeight="true" outlineLevel="0" collapsed="false">
      <c r="A36" s="56" t="s">
        <v>1127</v>
      </c>
      <c r="B36" s="40" t="s">
        <v>967</v>
      </c>
      <c r="C36" s="61" t="s">
        <v>664</v>
      </c>
      <c r="D36" s="35" t="s">
        <v>694</v>
      </c>
      <c r="E36" s="35" t="s">
        <v>640</v>
      </c>
      <c r="F36" s="35" t="s">
        <v>640</v>
      </c>
      <c r="G36" s="60" t="s">
        <v>1128</v>
      </c>
    </row>
    <row r="38" customFormat="false" ht="21.75" hidden="false" customHeight="true" outlineLevel="0" collapsed="false">
      <c r="A38" s="4" t="s">
        <v>1129</v>
      </c>
      <c r="B38" s="4"/>
      <c r="C38" s="4"/>
      <c r="D38" s="4"/>
      <c r="E38" s="4"/>
      <c r="F38" s="4"/>
      <c r="G38" s="4"/>
    </row>
    <row r="39" customFormat="false" ht="19.5" hidden="false" customHeight="true" outlineLevel="0" collapsed="false">
      <c r="A39" s="49" t="s">
        <v>1130</v>
      </c>
      <c r="B39" s="62" t="n">
        <v>23</v>
      </c>
      <c r="C39" s="63" t="s">
        <v>1131</v>
      </c>
      <c r="D39" s="63"/>
      <c r="E39" s="63"/>
      <c r="F39" s="63"/>
      <c r="G39" s="63"/>
    </row>
    <row r="40" customFormat="false" ht="19.5" hidden="false" customHeight="true" outlineLevel="0" collapsed="false">
      <c r="A40" s="49" t="s">
        <v>1132</v>
      </c>
      <c r="B40" s="62" t="n">
        <v>18</v>
      </c>
      <c r="C40" s="63" t="s">
        <v>1133</v>
      </c>
      <c r="D40" s="63"/>
      <c r="E40" s="63"/>
      <c r="F40" s="63"/>
      <c r="G40" s="63"/>
    </row>
    <row r="41" customFormat="false" ht="19.5" hidden="false" customHeight="true" outlineLevel="0" collapsed="false">
      <c r="A41" s="49" t="s">
        <v>1134</v>
      </c>
      <c r="B41" s="62" t="n">
        <v>11</v>
      </c>
      <c r="C41" s="63" t="s">
        <v>1135</v>
      </c>
      <c r="D41" s="63"/>
      <c r="E41" s="63"/>
      <c r="F41" s="63"/>
      <c r="G41" s="63"/>
    </row>
    <row r="42" customFormat="false" ht="19.5" hidden="false" customHeight="true" outlineLevel="0" collapsed="false">
      <c r="A42" s="49" t="s">
        <v>1136</v>
      </c>
      <c r="B42" s="62" t="n">
        <v>8</v>
      </c>
      <c r="C42" s="63" t="s">
        <v>1137</v>
      </c>
      <c r="D42" s="63"/>
      <c r="E42" s="63"/>
      <c r="F42" s="63"/>
      <c r="G42" s="63"/>
    </row>
    <row r="44" customFormat="false" ht="72" hidden="false" customHeight="true" outlineLevel="0" collapsed="false">
      <c r="A44" s="44" t="s">
        <v>1138</v>
      </c>
      <c r="B44" s="44"/>
      <c r="C44" s="44"/>
      <c r="D44" s="44"/>
      <c r="E44" s="44"/>
      <c r="F44" s="44"/>
      <c r="G44" s="44"/>
    </row>
  </sheetData>
  <mergeCells count="16">
    <mergeCell ref="A1:G1"/>
    <mergeCell ref="A2:G2"/>
    <mergeCell ref="A3:G3"/>
    <mergeCell ref="A4:G4"/>
    <mergeCell ref="A5:G5"/>
    <mergeCell ref="A6:G6"/>
    <mergeCell ref="A8:G8"/>
    <mergeCell ref="B9:G9"/>
    <mergeCell ref="B10:G10"/>
    <mergeCell ref="A12:G12"/>
    <mergeCell ref="A38:G38"/>
    <mergeCell ref="C39:G39"/>
    <mergeCell ref="C40:G40"/>
    <mergeCell ref="C41:G41"/>
    <mergeCell ref="C42:G42"/>
    <mergeCell ref="A44:G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65F46"/>
    <pageSetUpPr fitToPage="false"/>
  </sheetPr>
  <dimension ref="A1:H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22"/>
    <col collapsed="false" customWidth="true" hidden="false" outlineLevel="0" max="4" min="3" style="1" width="14"/>
    <col collapsed="false" customWidth="true" hidden="false" outlineLevel="0" max="6" min="5" style="1" width="16"/>
    <col collapsed="false" customWidth="true" hidden="false" outlineLevel="0" max="8" min="7" style="1" width="14"/>
  </cols>
  <sheetData>
    <row r="1" customFormat="false" ht="27.75" hidden="false" customHeight="true" outlineLevel="0" collapsed="false">
      <c r="A1" s="24" t="s">
        <v>1139</v>
      </c>
      <c r="B1" s="24"/>
      <c r="C1" s="24"/>
      <c r="D1" s="24"/>
      <c r="E1" s="24"/>
      <c r="F1" s="24"/>
      <c r="G1" s="24"/>
      <c r="H1" s="24"/>
    </row>
    <row r="3" customFormat="false" ht="27.75" hidden="false" customHeight="true" outlineLevel="0" collapsed="false">
      <c r="A3" s="7" t="s">
        <v>594</v>
      </c>
      <c r="B3" s="7" t="s">
        <v>304</v>
      </c>
      <c r="C3" s="7" t="s">
        <v>1140</v>
      </c>
      <c r="D3" s="7" t="s">
        <v>1141</v>
      </c>
      <c r="E3" s="7" t="s">
        <v>1142</v>
      </c>
      <c r="F3" s="7" t="s">
        <v>1143</v>
      </c>
      <c r="G3" s="7" t="s">
        <v>1144</v>
      </c>
      <c r="H3" s="7" t="s">
        <v>1145</v>
      </c>
    </row>
    <row r="4" customFormat="false" ht="27.75" hidden="false" customHeight="true" outlineLevel="0" collapsed="false">
      <c r="A4" s="28" t="s">
        <v>1146</v>
      </c>
      <c r="B4" s="28" t="s">
        <v>1147</v>
      </c>
      <c r="C4" s="64" t="n">
        <v>34</v>
      </c>
      <c r="D4" s="28" t="n">
        <v>3</v>
      </c>
      <c r="E4" s="64" t="n">
        <v>68</v>
      </c>
      <c r="F4" s="28" t="n">
        <v>3</v>
      </c>
      <c r="G4" s="64" t="n">
        <v>15</v>
      </c>
      <c r="H4" s="28" t="n">
        <v>2</v>
      </c>
    </row>
    <row r="5" customFormat="false" ht="27.75" hidden="false" customHeight="true" outlineLevel="0" collapsed="false">
      <c r="A5" s="28" t="s">
        <v>604</v>
      </c>
      <c r="B5" s="28" t="s">
        <v>303</v>
      </c>
      <c r="C5" s="64" t="n">
        <v>48</v>
      </c>
      <c r="D5" s="28" t="n">
        <v>4</v>
      </c>
      <c r="E5" s="64" t="n">
        <v>72</v>
      </c>
      <c r="F5" s="28" t="n">
        <v>4</v>
      </c>
      <c r="G5" s="64" t="n">
        <v>28</v>
      </c>
      <c r="H5" s="28" t="n">
        <v>3</v>
      </c>
    </row>
    <row r="6" customFormat="false" ht="27.75" hidden="false" customHeight="true" outlineLevel="0" collapsed="false">
      <c r="A6" s="28" t="s">
        <v>604</v>
      </c>
      <c r="B6" s="28" t="s">
        <v>309</v>
      </c>
      <c r="C6" s="64" t="n">
        <v>52</v>
      </c>
      <c r="D6" s="28" t="n">
        <v>4</v>
      </c>
      <c r="E6" s="64" t="n">
        <v>76</v>
      </c>
      <c r="F6" s="28" t="n">
        <v>4</v>
      </c>
      <c r="G6" s="64" t="n">
        <v>35</v>
      </c>
      <c r="H6" s="28" t="n">
        <v>3</v>
      </c>
    </row>
    <row r="7" customFormat="false" ht="27.75" hidden="false" customHeight="true" outlineLevel="0" collapsed="false">
      <c r="A7" s="28" t="s">
        <v>604</v>
      </c>
      <c r="B7" s="28" t="s">
        <v>312</v>
      </c>
      <c r="C7" s="64" t="n">
        <v>22</v>
      </c>
      <c r="D7" s="28" t="n">
        <v>2</v>
      </c>
      <c r="E7" s="64" t="n">
        <v>55</v>
      </c>
      <c r="F7" s="28" t="n">
        <v>2</v>
      </c>
      <c r="G7" s="64" t="n">
        <v>12</v>
      </c>
      <c r="H7" s="28" t="n">
        <v>1</v>
      </c>
    </row>
    <row r="8" customFormat="false" ht="27.75" hidden="false" customHeight="true" outlineLevel="0" collapsed="false">
      <c r="A8" s="28" t="s">
        <v>1148</v>
      </c>
      <c r="B8" s="28" t="s">
        <v>1149</v>
      </c>
      <c r="C8" s="64" t="n">
        <v>72</v>
      </c>
      <c r="D8" s="28" t="n">
        <v>7</v>
      </c>
      <c r="E8" s="64" t="n">
        <v>90</v>
      </c>
      <c r="F8" s="28" t="n">
        <v>7</v>
      </c>
      <c r="G8" s="64" t="n">
        <v>88</v>
      </c>
      <c r="H8" s="28" t="n">
        <v>6</v>
      </c>
    </row>
    <row r="9" customFormat="false" ht="27.75" hidden="false" customHeight="true" outlineLevel="0" collapsed="false">
      <c r="A9" s="28" t="s">
        <v>1052</v>
      </c>
      <c r="B9" s="28" t="s">
        <v>474</v>
      </c>
      <c r="C9" s="64" t="n">
        <v>58</v>
      </c>
      <c r="D9" s="28" t="n">
        <v>5</v>
      </c>
      <c r="E9" s="64" t="n">
        <v>78</v>
      </c>
      <c r="F9" s="28" t="n">
        <v>5</v>
      </c>
      <c r="G9" s="64" t="n">
        <v>65</v>
      </c>
      <c r="H9" s="28" t="n">
        <v>4</v>
      </c>
    </row>
    <row r="10" customFormat="false" ht="27.75" hidden="false" customHeight="true" outlineLevel="0" collapsed="false">
      <c r="A10" s="28" t="s">
        <v>1052</v>
      </c>
      <c r="B10" s="28" t="s">
        <v>477</v>
      </c>
      <c r="C10" s="64" t="n">
        <v>34</v>
      </c>
      <c r="D10" s="28" t="n">
        <v>3</v>
      </c>
      <c r="E10" s="64" t="n">
        <v>62</v>
      </c>
      <c r="F10" s="28" t="n">
        <v>3</v>
      </c>
      <c r="G10" s="64" t="n">
        <v>40</v>
      </c>
      <c r="H10" s="28" t="n">
        <v>3</v>
      </c>
    </row>
    <row r="11" customFormat="false" ht="27.75" hidden="false" customHeight="true" outlineLevel="0" collapsed="false">
      <c r="A11" s="28" t="s">
        <v>1052</v>
      </c>
      <c r="B11" s="28" t="s">
        <v>470</v>
      </c>
      <c r="C11" s="64" t="n">
        <v>18</v>
      </c>
      <c r="D11" s="28" t="n">
        <v>2</v>
      </c>
      <c r="E11" s="64" t="n">
        <v>44</v>
      </c>
      <c r="F11" s="28" t="n">
        <v>2</v>
      </c>
      <c r="G11" s="64" t="n">
        <v>22</v>
      </c>
      <c r="H11" s="28" t="n">
        <v>2</v>
      </c>
    </row>
    <row r="14" customFormat="false" ht="48" hidden="false" customHeight="true" outlineLevel="0" collapsed="false">
      <c r="A14" s="65" t="s">
        <v>1150</v>
      </c>
      <c r="B14" s="65"/>
      <c r="C14" s="65"/>
      <c r="D14" s="65"/>
      <c r="E14" s="65"/>
      <c r="F14" s="65"/>
      <c r="G14" s="65"/>
      <c r="H14" s="65"/>
    </row>
  </sheetData>
  <mergeCells count="2">
    <mergeCell ref="A1:H1"/>
    <mergeCell ref="A14:H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65F46"/>
    <pageSetUpPr fitToPage="false"/>
  </sheetPr>
  <dimension ref="A1: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62"/>
    <col collapsed="false" customWidth="true" hidden="false" outlineLevel="0" max="4" min="4" style="1" width="12"/>
    <col collapsed="false" customWidth="true" hidden="false" outlineLevel="0" max="5" min="5" style="1" width="26"/>
    <col collapsed="false" customWidth="true" hidden="false" outlineLevel="0" max="8" min="6" style="1" width="10"/>
    <col collapsed="false" customWidth="true" hidden="false" outlineLevel="0" max="9" min="9" style="1" width="34"/>
  </cols>
  <sheetData>
    <row r="1" customFormat="false" ht="27.75" hidden="false" customHeight="true" outlineLevel="0" collapsed="false">
      <c r="A1" s="24" t="s">
        <v>1151</v>
      </c>
      <c r="B1" s="24"/>
      <c r="C1" s="24"/>
      <c r="D1" s="24"/>
      <c r="E1" s="24"/>
      <c r="F1" s="24"/>
      <c r="G1" s="24"/>
    </row>
    <row r="2" customFormat="false" ht="15.75" hidden="false" customHeight="true" outlineLevel="0" collapsed="false">
      <c r="A2" s="25" t="s">
        <v>1152</v>
      </c>
      <c r="B2" s="25"/>
      <c r="C2" s="25"/>
      <c r="D2" s="25"/>
      <c r="E2" s="25"/>
      <c r="F2" s="25"/>
      <c r="G2" s="25"/>
    </row>
    <row r="4" customFormat="false" ht="27.75" hidden="false" customHeight="true" outlineLevel="0" collapsed="false">
      <c r="A4" s="66" t="s">
        <v>1153</v>
      </c>
      <c r="B4" s="66" t="s">
        <v>1046</v>
      </c>
      <c r="C4" s="66" t="s">
        <v>1154</v>
      </c>
      <c r="D4" s="66" t="s">
        <v>1155</v>
      </c>
      <c r="E4" s="66" t="s">
        <v>1156</v>
      </c>
      <c r="F4" s="66" t="s">
        <v>1157</v>
      </c>
      <c r="G4" s="66" t="s">
        <v>1158</v>
      </c>
      <c r="H4" s="66" t="s">
        <v>1159</v>
      </c>
      <c r="I4" s="66" t="s">
        <v>1160</v>
      </c>
    </row>
    <row r="5" customFormat="false" ht="51.75" hidden="false" customHeight="true" outlineLevel="0" collapsed="false">
      <c r="A5" s="67" t="s">
        <v>1161</v>
      </c>
      <c r="B5" s="28" t="s">
        <v>955</v>
      </c>
      <c r="C5" s="56" t="s">
        <v>1162</v>
      </c>
      <c r="D5" s="46" t="n">
        <v>3</v>
      </c>
      <c r="E5" s="28" t="s">
        <v>1163</v>
      </c>
      <c r="F5" s="15" t="s">
        <v>215</v>
      </c>
      <c r="G5" s="15" t="s">
        <v>215</v>
      </c>
      <c r="H5" s="15" t="s">
        <v>215</v>
      </c>
      <c r="I5" s="47" t="s">
        <v>1164</v>
      </c>
    </row>
    <row r="6" customFormat="false" ht="51.75" hidden="false" customHeight="true" outlineLevel="0" collapsed="false">
      <c r="A6" s="67" t="s">
        <v>1165</v>
      </c>
      <c r="B6" s="28" t="s">
        <v>955</v>
      </c>
      <c r="C6" s="56" t="s">
        <v>1166</v>
      </c>
      <c r="D6" s="46" t="n">
        <v>2</v>
      </c>
      <c r="E6" s="28" t="s">
        <v>1167</v>
      </c>
      <c r="F6" s="15" t="s">
        <v>215</v>
      </c>
      <c r="G6" s="15" t="s">
        <v>215</v>
      </c>
      <c r="H6" s="15" t="s">
        <v>215</v>
      </c>
      <c r="I6" s="43" t="s">
        <v>1168</v>
      </c>
    </row>
    <row r="7" customFormat="false" ht="51.75" hidden="false" customHeight="true" outlineLevel="0" collapsed="false">
      <c r="A7" s="67" t="s">
        <v>1169</v>
      </c>
      <c r="B7" s="28" t="s">
        <v>955</v>
      </c>
      <c r="C7" s="56" t="s">
        <v>1170</v>
      </c>
      <c r="D7" s="46" t="n">
        <v>2</v>
      </c>
      <c r="E7" s="28" t="s">
        <v>303</v>
      </c>
      <c r="F7" s="15" t="s">
        <v>215</v>
      </c>
      <c r="G7" s="15" t="s">
        <v>215</v>
      </c>
      <c r="H7" s="16" t="s">
        <v>268</v>
      </c>
      <c r="I7" s="43" t="s">
        <v>1171</v>
      </c>
    </row>
    <row r="8" customFormat="false" ht="51.75" hidden="false" customHeight="true" outlineLevel="0" collapsed="false">
      <c r="A8" s="67" t="s">
        <v>1172</v>
      </c>
      <c r="B8" s="28" t="s">
        <v>955</v>
      </c>
      <c r="C8" s="56" t="s">
        <v>1173</v>
      </c>
      <c r="D8" s="46" t="n">
        <v>2</v>
      </c>
      <c r="E8" s="28" t="s">
        <v>309</v>
      </c>
      <c r="F8" s="15" t="s">
        <v>215</v>
      </c>
      <c r="G8" s="15" t="s">
        <v>215</v>
      </c>
      <c r="H8" s="16" t="s">
        <v>268</v>
      </c>
      <c r="I8" s="28" t="s">
        <v>1174</v>
      </c>
    </row>
    <row r="9" customFormat="false" ht="51.75" hidden="false" customHeight="true" outlineLevel="0" collapsed="false">
      <c r="A9" s="67" t="s">
        <v>1175</v>
      </c>
      <c r="B9" s="28" t="s">
        <v>955</v>
      </c>
      <c r="C9" s="56" t="s">
        <v>1176</v>
      </c>
      <c r="D9" s="46" t="n">
        <v>3</v>
      </c>
      <c r="E9" s="28" t="s">
        <v>1177</v>
      </c>
      <c r="F9" s="15" t="s">
        <v>215</v>
      </c>
      <c r="G9" s="16" t="s">
        <v>268</v>
      </c>
      <c r="H9" s="16" t="s">
        <v>268</v>
      </c>
      <c r="I9" s="28" t="s">
        <v>1178</v>
      </c>
    </row>
    <row r="10" customFormat="false" ht="51.75" hidden="false" customHeight="true" outlineLevel="0" collapsed="false">
      <c r="A10" s="67" t="s">
        <v>1179</v>
      </c>
      <c r="B10" s="28" t="s">
        <v>955</v>
      </c>
      <c r="C10" s="56" t="s">
        <v>1180</v>
      </c>
      <c r="D10" s="46" t="n">
        <v>2</v>
      </c>
      <c r="E10" s="28" t="s">
        <v>303</v>
      </c>
      <c r="F10" s="15" t="s">
        <v>215</v>
      </c>
      <c r="G10" s="15" t="s">
        <v>215</v>
      </c>
      <c r="H10" s="16" t="s">
        <v>268</v>
      </c>
      <c r="I10" s="28" t="s">
        <v>1181</v>
      </c>
    </row>
    <row r="11" customFormat="false" ht="51.75" hidden="false" customHeight="true" outlineLevel="0" collapsed="false">
      <c r="A11" s="67" t="s">
        <v>1182</v>
      </c>
      <c r="B11" s="28" t="s">
        <v>967</v>
      </c>
      <c r="C11" s="56" t="s">
        <v>1183</v>
      </c>
      <c r="D11" s="46" t="n">
        <v>2</v>
      </c>
      <c r="E11" s="28" t="s">
        <v>1184</v>
      </c>
      <c r="F11" s="15" t="s">
        <v>215</v>
      </c>
      <c r="G11" s="16" t="s">
        <v>268</v>
      </c>
      <c r="H11" s="16" t="s">
        <v>268</v>
      </c>
      <c r="I11" s="43" t="s">
        <v>1185</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65F46"/>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4"/>
    <col collapsed="false" customWidth="true" hidden="false" outlineLevel="0" max="3" min="3" style="1" width="12"/>
    <col collapsed="false" customWidth="true" hidden="false" outlineLevel="0" max="4" min="4" style="1" width="60"/>
    <col collapsed="false" customWidth="true" hidden="false" outlineLevel="0" max="5" min="5" style="1" width="68"/>
    <col collapsed="false" customWidth="true" hidden="false" outlineLevel="0" max="6" min="6" style="1" width="10"/>
    <col collapsed="false" customWidth="true" hidden="false" outlineLevel="0" max="7" min="7" style="1" width="18"/>
  </cols>
  <sheetData>
    <row r="1" customFormat="false" ht="27.75" hidden="false" customHeight="true" outlineLevel="0" collapsed="false">
      <c r="A1" s="24" t="s">
        <v>1186</v>
      </c>
      <c r="B1" s="24"/>
      <c r="C1" s="24"/>
      <c r="D1" s="24"/>
      <c r="E1" s="24"/>
      <c r="F1" s="24"/>
      <c r="G1" s="24"/>
    </row>
    <row r="2" customFormat="false" ht="15.75" hidden="false" customHeight="true" outlineLevel="0" collapsed="false">
      <c r="A2" s="25" t="s">
        <v>1187</v>
      </c>
      <c r="B2" s="25"/>
      <c r="C2" s="25"/>
      <c r="D2" s="25"/>
      <c r="E2" s="25"/>
      <c r="F2" s="25"/>
      <c r="G2" s="25"/>
    </row>
    <row r="4" customFormat="false" ht="27.75" hidden="false" customHeight="true" outlineLevel="0" collapsed="false">
      <c r="A4" s="7" t="s">
        <v>1046</v>
      </c>
      <c r="B4" s="7" t="s">
        <v>592</v>
      </c>
      <c r="C4" s="7" t="s">
        <v>1160</v>
      </c>
      <c r="D4" s="7" t="s">
        <v>1188</v>
      </c>
      <c r="E4" s="7" t="s">
        <v>1189</v>
      </c>
      <c r="F4" s="7" t="s">
        <v>1155</v>
      </c>
      <c r="G4" s="7" t="s">
        <v>13</v>
      </c>
    </row>
    <row r="5" customFormat="false" ht="72" hidden="false" customHeight="true" outlineLevel="0" collapsed="false">
      <c r="A5" s="28" t="s">
        <v>955</v>
      </c>
      <c r="B5" s="28" t="s">
        <v>602</v>
      </c>
      <c r="C5" s="47" t="s">
        <v>1190</v>
      </c>
      <c r="D5" s="56" t="s">
        <v>1162</v>
      </c>
      <c r="E5" s="68" t="s">
        <v>1191</v>
      </c>
      <c r="F5" s="46" t="n">
        <v>3</v>
      </c>
      <c r="G5" s="28" t="s">
        <v>1192</v>
      </c>
    </row>
    <row r="6" customFormat="false" ht="72" hidden="false" customHeight="true" outlineLevel="0" collapsed="false">
      <c r="A6" s="28" t="s">
        <v>955</v>
      </c>
      <c r="B6" s="28" t="s">
        <v>602</v>
      </c>
      <c r="C6" s="43" t="s">
        <v>1193</v>
      </c>
      <c r="D6" s="56" t="s">
        <v>1194</v>
      </c>
      <c r="E6" s="68" t="s">
        <v>1195</v>
      </c>
      <c r="F6" s="46" t="n">
        <v>2</v>
      </c>
      <c r="G6" s="28" t="s">
        <v>1196</v>
      </c>
    </row>
    <row r="7" customFormat="false" ht="72" hidden="false" customHeight="true" outlineLevel="0" collapsed="false">
      <c r="A7" s="28" t="s">
        <v>955</v>
      </c>
      <c r="B7" s="28" t="s">
        <v>602</v>
      </c>
      <c r="C7" s="43" t="s">
        <v>1193</v>
      </c>
      <c r="D7" s="56" t="s">
        <v>1197</v>
      </c>
      <c r="E7" s="68" t="s">
        <v>1198</v>
      </c>
      <c r="F7" s="46" t="n">
        <v>2</v>
      </c>
      <c r="G7" s="28" t="s">
        <v>1199</v>
      </c>
    </row>
    <row r="8" customFormat="false" ht="72" hidden="false" customHeight="true" outlineLevel="0" collapsed="false">
      <c r="A8" s="28" t="s">
        <v>955</v>
      </c>
      <c r="B8" s="28" t="s">
        <v>602</v>
      </c>
      <c r="C8" s="42" t="s">
        <v>1200</v>
      </c>
      <c r="D8" s="56" t="s">
        <v>1201</v>
      </c>
      <c r="E8" s="68" t="s">
        <v>1202</v>
      </c>
      <c r="F8" s="46" t="n">
        <v>2</v>
      </c>
      <c r="G8" s="28" t="s">
        <v>1203</v>
      </c>
    </row>
    <row r="9" customFormat="false" ht="72" hidden="false" customHeight="true" outlineLevel="0" collapsed="false">
      <c r="A9" s="28" t="s">
        <v>955</v>
      </c>
      <c r="B9" s="28" t="s">
        <v>602</v>
      </c>
      <c r="C9" s="42" t="s">
        <v>1200</v>
      </c>
      <c r="D9" s="56" t="s">
        <v>1204</v>
      </c>
      <c r="E9" s="68" t="s">
        <v>1205</v>
      </c>
      <c r="F9" s="46" t="n">
        <v>3</v>
      </c>
      <c r="G9" s="28" t="s">
        <v>1206</v>
      </c>
    </row>
    <row r="10" customFormat="false" ht="72" hidden="false" customHeight="true" outlineLevel="0" collapsed="false">
      <c r="A10" s="28" t="s">
        <v>955</v>
      </c>
      <c r="B10" s="28" t="s">
        <v>610</v>
      </c>
      <c r="C10" s="47" t="s">
        <v>1190</v>
      </c>
      <c r="D10" s="56" t="s">
        <v>1207</v>
      </c>
      <c r="E10" s="68" t="s">
        <v>1208</v>
      </c>
      <c r="F10" s="46" t="n">
        <v>3</v>
      </c>
      <c r="G10" s="28" t="s">
        <v>1209</v>
      </c>
    </row>
    <row r="11" customFormat="false" ht="72" hidden="false" customHeight="true" outlineLevel="0" collapsed="false">
      <c r="A11" s="28" t="s">
        <v>955</v>
      </c>
      <c r="B11" s="28" t="s">
        <v>610</v>
      </c>
      <c r="C11" s="43" t="s">
        <v>1193</v>
      </c>
      <c r="D11" s="56" t="s">
        <v>1210</v>
      </c>
      <c r="E11" s="68" t="s">
        <v>1211</v>
      </c>
      <c r="F11" s="46" t="n">
        <v>2</v>
      </c>
      <c r="G11" s="28" t="s">
        <v>1209</v>
      </c>
    </row>
    <row r="12" customFormat="false" ht="72" hidden="false" customHeight="true" outlineLevel="0" collapsed="false">
      <c r="A12" s="28" t="s">
        <v>955</v>
      </c>
      <c r="B12" s="28" t="s">
        <v>610</v>
      </c>
      <c r="C12" s="43" t="s">
        <v>1193</v>
      </c>
      <c r="D12" s="56" t="s">
        <v>1212</v>
      </c>
      <c r="E12" s="68" t="s">
        <v>1213</v>
      </c>
      <c r="F12" s="46" t="n">
        <v>3</v>
      </c>
      <c r="G12" s="28" t="s">
        <v>1209</v>
      </c>
    </row>
    <row r="13" customFormat="false" ht="72" hidden="false" customHeight="true" outlineLevel="0" collapsed="false">
      <c r="A13" s="28" t="s">
        <v>955</v>
      </c>
      <c r="B13" s="28" t="s">
        <v>610</v>
      </c>
      <c r="C13" s="42" t="s">
        <v>1200</v>
      </c>
      <c r="D13" s="56" t="s">
        <v>1214</v>
      </c>
      <c r="E13" s="68" t="s">
        <v>1215</v>
      </c>
      <c r="F13" s="46" t="n">
        <v>3</v>
      </c>
      <c r="G13" s="28" t="s">
        <v>1209</v>
      </c>
    </row>
    <row r="14" customFormat="false" ht="72" hidden="false" customHeight="true" outlineLevel="0" collapsed="false">
      <c r="A14" s="28" t="s">
        <v>955</v>
      </c>
      <c r="B14" s="28" t="s">
        <v>614</v>
      </c>
      <c r="C14" s="43" t="s">
        <v>1193</v>
      </c>
      <c r="D14" s="56" t="s">
        <v>1216</v>
      </c>
      <c r="E14" s="68" t="s">
        <v>1217</v>
      </c>
      <c r="F14" s="46" t="n">
        <v>2</v>
      </c>
      <c r="G14" s="28" t="s">
        <v>1209</v>
      </c>
    </row>
    <row r="15" customFormat="false" ht="72" hidden="false" customHeight="true" outlineLevel="0" collapsed="false">
      <c r="A15" s="28" t="s">
        <v>955</v>
      </c>
      <c r="B15" s="28" t="s">
        <v>614</v>
      </c>
      <c r="C15" s="43" t="s">
        <v>1193</v>
      </c>
      <c r="D15" s="56" t="s">
        <v>1218</v>
      </c>
      <c r="E15" s="68" t="s">
        <v>1219</v>
      </c>
      <c r="F15" s="46" t="n">
        <v>2</v>
      </c>
      <c r="G15" s="28" t="s">
        <v>1209</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400E"/>
    <pageSetUpPr fitToPage="fals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16"/>
    <col collapsed="false" customWidth="true" hidden="false" outlineLevel="0" max="4" min="3" style="1" width="14"/>
    <col collapsed="false" customWidth="true" hidden="false" outlineLevel="0" max="6" min="5" style="1" width="16"/>
    <col collapsed="false" customWidth="true" hidden="false" outlineLevel="0" max="8" min="7" style="1" width="14"/>
  </cols>
  <sheetData>
    <row r="1" customFormat="false" ht="27.75" hidden="false" customHeight="true" outlineLevel="0" collapsed="false">
      <c r="A1" s="24" t="s">
        <v>1220</v>
      </c>
      <c r="B1" s="24"/>
      <c r="C1" s="24"/>
      <c r="D1" s="24"/>
      <c r="E1" s="24"/>
      <c r="F1" s="24"/>
      <c r="G1" s="24"/>
      <c r="H1" s="24"/>
    </row>
    <row r="2" customFormat="false" ht="15.75" hidden="false" customHeight="true" outlineLevel="0" collapsed="false">
      <c r="A2" s="25" t="s">
        <v>1221</v>
      </c>
      <c r="B2" s="25"/>
      <c r="C2" s="25"/>
      <c r="D2" s="25"/>
      <c r="E2" s="25"/>
      <c r="F2" s="25"/>
      <c r="G2" s="25"/>
      <c r="H2" s="25"/>
    </row>
    <row r="4" customFormat="false" ht="27.75" hidden="false" customHeight="true" outlineLevel="0" collapsed="false">
      <c r="A4" s="7" t="s">
        <v>245</v>
      </c>
      <c r="B4" s="7" t="s">
        <v>1222</v>
      </c>
      <c r="C4" s="7" t="s">
        <v>1223</v>
      </c>
      <c r="D4" s="7" t="s">
        <v>1224</v>
      </c>
      <c r="E4" s="7" t="s">
        <v>1225</v>
      </c>
      <c r="F4" s="7" t="s">
        <v>1226</v>
      </c>
      <c r="G4" s="7" t="s">
        <v>1227</v>
      </c>
      <c r="H4" s="7" t="s">
        <v>1228</v>
      </c>
    </row>
    <row r="5" customFormat="false" ht="27.75" hidden="false" customHeight="true" outlineLevel="0" collapsed="false">
      <c r="A5" s="28" t="s">
        <v>1229</v>
      </c>
      <c r="B5" s="41" t="n">
        <v>7</v>
      </c>
      <c r="C5" s="69" t="n">
        <v>10</v>
      </c>
      <c r="D5" s="42" t="n">
        <f aca="false">C5-B5</f>
        <v>3</v>
      </c>
      <c r="E5" s="70" t="n">
        <v>28</v>
      </c>
      <c r="F5" s="47" t="n">
        <f aca="false">E5-B5</f>
        <v>21</v>
      </c>
      <c r="G5" s="71" t="n">
        <v>2</v>
      </c>
      <c r="H5" s="43" t="n">
        <f aca="false">G5-B5</f>
        <v>-5</v>
      </c>
    </row>
    <row r="6" customFormat="false" ht="27.75" hidden="false" customHeight="true" outlineLevel="0" collapsed="false">
      <c r="A6" s="28" t="s">
        <v>1230</v>
      </c>
      <c r="B6" s="41" t="n">
        <v>2.5</v>
      </c>
      <c r="C6" s="69" t="n">
        <v>3</v>
      </c>
      <c r="D6" s="42" t="n">
        <f aca="false">C6-B6</f>
        <v>0.5</v>
      </c>
      <c r="E6" s="70" t="n">
        <v>3</v>
      </c>
      <c r="F6" s="42" t="n">
        <f aca="false">E6-B6</f>
        <v>0.5</v>
      </c>
      <c r="G6" s="71" t="n">
        <v>2</v>
      </c>
      <c r="H6" s="42" t="n">
        <f aca="false">G6-B6</f>
        <v>-0.5</v>
      </c>
    </row>
    <row r="7" customFormat="false" ht="27.75" hidden="false" customHeight="true" outlineLevel="0" collapsed="false">
      <c r="A7" s="28" t="s">
        <v>1231</v>
      </c>
      <c r="B7" s="41" t="n">
        <v>50</v>
      </c>
      <c r="C7" s="69" t="n">
        <v>52</v>
      </c>
      <c r="D7" s="42" t="n">
        <f aca="false">C7-B7</f>
        <v>2</v>
      </c>
      <c r="E7" s="70" t="n">
        <v>67.5</v>
      </c>
      <c r="F7" s="47" t="n">
        <f aca="false">E7-B7</f>
        <v>17.5</v>
      </c>
      <c r="G7" s="71" t="n">
        <v>14.3</v>
      </c>
      <c r="H7" s="47" t="n">
        <f aca="false">G7-B7</f>
        <v>-35.7</v>
      </c>
    </row>
    <row r="8" customFormat="false" ht="27.75" hidden="false" customHeight="true" outlineLevel="0" collapsed="false">
      <c r="A8" s="28" t="s">
        <v>1232</v>
      </c>
      <c r="B8" s="41" t="n">
        <v>32.5</v>
      </c>
      <c r="C8" s="69" t="n">
        <v>34</v>
      </c>
      <c r="D8" s="42" t="n">
        <f aca="false">C8-B8</f>
        <v>1.5</v>
      </c>
      <c r="E8" s="70" t="n">
        <v>68</v>
      </c>
      <c r="F8" s="47" t="n">
        <f aca="false">E8-B8</f>
        <v>35.5</v>
      </c>
      <c r="G8" s="71" t="n">
        <v>15</v>
      </c>
      <c r="H8" s="47" t="n">
        <f aca="false">G8-B8</f>
        <v>-17.5</v>
      </c>
    </row>
    <row r="9" customFormat="false" ht="27.75" hidden="false" customHeight="true" outlineLevel="0" collapsed="false">
      <c r="A9" s="28" t="s">
        <v>1233</v>
      </c>
      <c r="B9" s="41" t="n">
        <v>13.5</v>
      </c>
      <c r="C9" s="69" t="n">
        <v>18</v>
      </c>
      <c r="D9" s="43" t="n">
        <f aca="false">C9-B9</f>
        <v>4.5</v>
      </c>
      <c r="E9" s="70" t="n">
        <v>24</v>
      </c>
      <c r="F9" s="47" t="n">
        <f aca="false">E9-B9</f>
        <v>10.5</v>
      </c>
      <c r="G9" s="71" t="n">
        <v>21</v>
      </c>
      <c r="H9" s="43" t="n">
        <f aca="false">G9-B9</f>
        <v>7.5</v>
      </c>
    </row>
    <row r="10" customFormat="false" ht="27.75" hidden="false" customHeight="true" outlineLevel="0" collapsed="false">
      <c r="A10" s="28" t="s">
        <v>1234</v>
      </c>
      <c r="B10" s="41" t="n">
        <v>5.5</v>
      </c>
      <c r="C10" s="69" t="n">
        <v>7</v>
      </c>
      <c r="D10" s="42" t="n">
        <f aca="false">C10-B10</f>
        <v>1.5</v>
      </c>
      <c r="E10" s="70" t="n">
        <v>7</v>
      </c>
      <c r="F10" s="42" t="n">
        <f aca="false">E10-B10</f>
        <v>1.5</v>
      </c>
      <c r="G10" s="71" t="n">
        <v>6</v>
      </c>
      <c r="H10" s="42" t="n">
        <f aca="false">G10-B10</f>
        <v>0.5</v>
      </c>
    </row>
    <row r="11" customFormat="false" ht="27.75" hidden="false" customHeight="true" outlineLevel="0" collapsed="false">
      <c r="A11" s="28" t="s">
        <v>1235</v>
      </c>
      <c r="B11" s="41" t="n">
        <v>70</v>
      </c>
      <c r="C11" s="69" t="n">
        <v>62</v>
      </c>
      <c r="D11" s="43" t="n">
        <f aca="false">C11-B11</f>
        <v>-8</v>
      </c>
      <c r="E11" s="70" t="n">
        <v>73.7</v>
      </c>
      <c r="F11" s="43" t="n">
        <f aca="false">E11-B11</f>
        <v>3.7</v>
      </c>
      <c r="G11" s="71" t="n">
        <v>66.7</v>
      </c>
      <c r="H11" s="43" t="n">
        <f aca="false">G11-B11</f>
        <v>-3.3</v>
      </c>
    </row>
    <row r="12" customFormat="false" ht="27.75" hidden="false" customHeight="true" outlineLevel="0" collapsed="false">
      <c r="A12" s="28" t="s">
        <v>1236</v>
      </c>
      <c r="B12" s="41" t="n">
        <v>72.5</v>
      </c>
      <c r="C12" s="69" t="n">
        <v>72</v>
      </c>
      <c r="D12" s="42" t="n">
        <f aca="false">C12-B12</f>
        <v>-0.5</v>
      </c>
      <c r="E12" s="70" t="n">
        <v>90</v>
      </c>
      <c r="F12" s="47" t="n">
        <f aca="false">E12-B12</f>
        <v>17.5</v>
      </c>
      <c r="G12" s="71" t="n">
        <v>88</v>
      </c>
      <c r="H12" s="47" t="n">
        <f aca="false">G12-B12</f>
        <v>15.5</v>
      </c>
    </row>
    <row r="14" customFormat="false" ht="15" hidden="false" customHeight="true" outlineLevel="0" collapsed="false">
      <c r="A14" s="49" t="s">
        <v>1237</v>
      </c>
      <c r="B14" s="72" t="n">
        <f aca="false">SUMPRODUCT(ABS(D5:D12))</f>
        <v>21.5</v>
      </c>
    </row>
    <row r="15" customFormat="false" ht="15" hidden="false" customHeight="true" outlineLevel="0" collapsed="false">
      <c r="A15" s="49" t="s">
        <v>1238</v>
      </c>
      <c r="B15" s="73" t="n">
        <f aca="false">SUMPRODUCT(ABS(F5:F12))</f>
        <v>107.7</v>
      </c>
    </row>
    <row r="16" customFormat="false" ht="15" hidden="false" customHeight="true" outlineLevel="0" collapsed="false">
      <c r="A16" s="49" t="s">
        <v>1239</v>
      </c>
      <c r="B16" s="73" t="n">
        <f aca="false">SUMPRODUCT(ABS(H5:H12))</f>
        <v>85.5</v>
      </c>
    </row>
    <row r="17" customFormat="false" ht="15" hidden="false" customHeight="true" outlineLevel="0" collapsed="false">
      <c r="A17" s="49" t="s">
        <v>1240</v>
      </c>
      <c r="B17" s="74" t="str">
        <f aca="false">IF(AND(B14&lt;=B15,B14&lt;=B16),"Claude MOST ACCURATE — confirms series finding","CHECK")</f>
        <v>Claude MOST ACCURATE — confirms series finding</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4C75"/>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52"/>
    <col collapsed="false" customWidth="true" hidden="false" outlineLevel="0" max="3" min="3" style="1" width="14"/>
    <col collapsed="false" customWidth="true" hidden="false" outlineLevel="0" max="4" min="4" style="1" width="36"/>
    <col collapsed="false" customWidth="true" hidden="false" outlineLevel="0" max="5" min="5" style="1" width="52"/>
    <col collapsed="false" customWidth="true" hidden="false" outlineLevel="0" max="6" min="6" style="1" width="14"/>
  </cols>
  <sheetData>
    <row r="1" customFormat="false" ht="27.75" hidden="false" customHeight="true" outlineLevel="0" collapsed="false">
      <c r="A1" s="24" t="s">
        <v>1241</v>
      </c>
      <c r="B1" s="24"/>
      <c r="C1" s="24"/>
      <c r="D1" s="24"/>
      <c r="E1" s="24"/>
      <c r="F1" s="24"/>
    </row>
    <row r="3" customFormat="false" ht="27.75" hidden="false" customHeight="true" outlineLevel="0" collapsed="false">
      <c r="A3" s="7" t="s">
        <v>953</v>
      </c>
      <c r="B3" s="7" t="s">
        <v>1242</v>
      </c>
      <c r="C3" s="7" t="s">
        <v>13</v>
      </c>
      <c r="D3" s="7" t="s">
        <v>1243</v>
      </c>
      <c r="E3" s="7" t="s">
        <v>1244</v>
      </c>
      <c r="F3" s="7" t="s">
        <v>1245</v>
      </c>
    </row>
    <row r="4" customFormat="false" ht="55.5" hidden="false" customHeight="true" outlineLevel="0" collapsed="false">
      <c r="A4" s="75" t="s">
        <v>1246</v>
      </c>
      <c r="B4" s="28" t="s">
        <v>1247</v>
      </c>
      <c r="C4" s="28" t="s">
        <v>1248</v>
      </c>
      <c r="D4" s="76" t="s">
        <v>66</v>
      </c>
      <c r="E4" s="28" t="s">
        <v>1249</v>
      </c>
      <c r="F4" s="77" t="s">
        <v>1250</v>
      </c>
    </row>
    <row r="5" customFormat="false" ht="55.5" hidden="false" customHeight="true" outlineLevel="0" collapsed="false">
      <c r="A5" s="75" t="s">
        <v>1251</v>
      </c>
      <c r="B5" s="28" t="s">
        <v>1252</v>
      </c>
      <c r="C5" s="28" t="s">
        <v>1253</v>
      </c>
      <c r="D5" s="76" t="s">
        <v>147</v>
      </c>
      <c r="E5" s="28" t="s">
        <v>1254</v>
      </c>
      <c r="F5" s="77" t="s">
        <v>1250</v>
      </c>
    </row>
    <row r="6" customFormat="false" ht="55.5" hidden="false" customHeight="true" outlineLevel="0" collapsed="false">
      <c r="A6" s="75" t="s">
        <v>1255</v>
      </c>
      <c r="B6" s="28" t="s">
        <v>1256</v>
      </c>
      <c r="C6" s="28" t="s">
        <v>1257</v>
      </c>
      <c r="D6" s="76" t="s">
        <v>1258</v>
      </c>
      <c r="E6" s="28" t="s">
        <v>1259</v>
      </c>
      <c r="F6" s="77" t="s">
        <v>1250</v>
      </c>
    </row>
    <row r="7" customFormat="false" ht="55.5" hidden="false" customHeight="true" outlineLevel="0" collapsed="false">
      <c r="A7" s="75" t="s">
        <v>1260</v>
      </c>
      <c r="B7" s="28" t="s">
        <v>1261</v>
      </c>
      <c r="C7" s="28" t="s">
        <v>1262</v>
      </c>
      <c r="D7" s="76" t="s">
        <v>54</v>
      </c>
      <c r="E7" s="28" t="s">
        <v>1263</v>
      </c>
      <c r="F7" s="77" t="s">
        <v>1250</v>
      </c>
    </row>
    <row r="8" customFormat="false" ht="55.5" hidden="false" customHeight="true" outlineLevel="0" collapsed="false">
      <c r="A8" s="75" t="s">
        <v>1264</v>
      </c>
      <c r="B8" s="28" t="s">
        <v>1265</v>
      </c>
      <c r="C8" s="28" t="s">
        <v>78</v>
      </c>
      <c r="D8" s="76" t="s">
        <v>1266</v>
      </c>
      <c r="E8" s="28" t="s">
        <v>1267</v>
      </c>
      <c r="F8" s="77" t="s">
        <v>1250</v>
      </c>
    </row>
    <row r="9" customFormat="false" ht="55.5" hidden="false" customHeight="true" outlineLevel="0" collapsed="false">
      <c r="A9" s="75" t="s">
        <v>1268</v>
      </c>
      <c r="B9" s="28" t="s">
        <v>1269</v>
      </c>
      <c r="C9" s="28" t="s">
        <v>1270</v>
      </c>
      <c r="D9" s="76" t="s">
        <v>1271</v>
      </c>
      <c r="E9" s="28" t="s">
        <v>1272</v>
      </c>
      <c r="F9" s="77" t="s">
        <v>1250</v>
      </c>
    </row>
    <row r="10" customFormat="false" ht="55.5" hidden="false" customHeight="true" outlineLevel="0" collapsed="false">
      <c r="A10" s="75" t="s">
        <v>92</v>
      </c>
      <c r="B10" s="28" t="s">
        <v>1273</v>
      </c>
      <c r="C10" s="28" t="s">
        <v>91</v>
      </c>
      <c r="D10" s="76" t="s">
        <v>1274</v>
      </c>
      <c r="E10" s="28" t="s">
        <v>1275</v>
      </c>
      <c r="F10" s="77" t="s">
        <v>1250</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400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6"/>
    <col collapsed="false" customWidth="true" hidden="false" outlineLevel="0" max="3" min="3" style="1" width="36"/>
    <col collapsed="false" customWidth="true" hidden="false" outlineLevel="0" max="4" min="4" style="1" width="46"/>
    <col collapsed="false" customWidth="true" hidden="false" outlineLevel="0" max="5" min="5" style="1" width="44"/>
    <col collapsed="false" customWidth="true" hidden="false" outlineLevel="0" max="6" min="6" style="1" width="30"/>
  </cols>
  <sheetData>
    <row r="1" customFormat="false" ht="27.75" hidden="false" customHeight="true" outlineLevel="0" collapsed="false">
      <c r="A1" s="24" t="s">
        <v>1276</v>
      </c>
      <c r="B1" s="24"/>
      <c r="C1" s="24"/>
      <c r="D1" s="24"/>
      <c r="E1" s="24"/>
      <c r="F1" s="24"/>
      <c r="G1" s="24"/>
    </row>
    <row r="3" customFormat="false" ht="27.75" hidden="false" customHeight="true" outlineLevel="0" collapsed="false">
      <c r="A3" s="7" t="s">
        <v>1277</v>
      </c>
      <c r="B3" s="7" t="s">
        <v>1278</v>
      </c>
      <c r="C3" s="7" t="s">
        <v>1279</v>
      </c>
      <c r="D3" s="7" t="s">
        <v>1280</v>
      </c>
      <c r="E3" s="7" t="s">
        <v>1281</v>
      </c>
      <c r="F3" s="7" t="s">
        <v>1282</v>
      </c>
    </row>
    <row r="4" customFormat="false" ht="51.75" hidden="false" customHeight="true" outlineLevel="0" collapsed="false">
      <c r="A4" s="67" t="s">
        <v>1283</v>
      </c>
      <c r="B4" s="28" t="s">
        <v>1284</v>
      </c>
      <c r="C4" s="42" t="s">
        <v>1285</v>
      </c>
      <c r="D4" s="43" t="s">
        <v>1286</v>
      </c>
      <c r="E4" s="47" t="s">
        <v>1287</v>
      </c>
      <c r="F4" s="28" t="s">
        <v>1288</v>
      </c>
    </row>
    <row r="5" customFormat="false" ht="51.75" hidden="false" customHeight="true" outlineLevel="0" collapsed="false">
      <c r="A5" s="67" t="s">
        <v>1289</v>
      </c>
      <c r="B5" s="28" t="s">
        <v>1290</v>
      </c>
      <c r="C5" s="42" t="s">
        <v>1285</v>
      </c>
      <c r="D5" s="43" t="s">
        <v>1291</v>
      </c>
      <c r="E5" s="47" t="s">
        <v>1292</v>
      </c>
      <c r="F5" s="28" t="s">
        <v>1293</v>
      </c>
    </row>
    <row r="6" customFormat="false" ht="51.75" hidden="false" customHeight="true" outlineLevel="0" collapsed="false">
      <c r="A6" s="67" t="s">
        <v>1294</v>
      </c>
      <c r="B6" s="28" t="s">
        <v>1295</v>
      </c>
      <c r="C6" s="42" t="s">
        <v>1285</v>
      </c>
      <c r="D6" s="43" t="s">
        <v>1286</v>
      </c>
      <c r="E6" s="47" t="s">
        <v>1296</v>
      </c>
      <c r="F6" s="28" t="s">
        <v>1297</v>
      </c>
    </row>
    <row r="7" customFormat="false" ht="51.75" hidden="false" customHeight="true" outlineLevel="0" collapsed="false">
      <c r="A7" s="67" t="s">
        <v>1298</v>
      </c>
      <c r="B7" s="28" t="s">
        <v>1299</v>
      </c>
      <c r="C7" s="42" t="s">
        <v>1285</v>
      </c>
      <c r="D7" s="43" t="s">
        <v>1300</v>
      </c>
      <c r="E7" s="47" t="s">
        <v>1301</v>
      </c>
      <c r="F7" s="28" t="s">
        <v>1302</v>
      </c>
    </row>
    <row r="8" customFormat="false" ht="51.75" hidden="false" customHeight="true" outlineLevel="0" collapsed="false">
      <c r="A8" s="67" t="s">
        <v>1303</v>
      </c>
      <c r="B8" s="28" t="s">
        <v>1284</v>
      </c>
      <c r="C8" s="42" t="s">
        <v>1285</v>
      </c>
      <c r="D8" s="43" t="s">
        <v>1304</v>
      </c>
      <c r="E8" s="47" t="s">
        <v>1305</v>
      </c>
      <c r="F8" s="28" t="s">
        <v>1306</v>
      </c>
    </row>
    <row r="9" customFormat="false" ht="51.75" hidden="false" customHeight="true" outlineLevel="0" collapsed="false">
      <c r="A9" s="67" t="s">
        <v>1307</v>
      </c>
      <c r="B9" s="28" t="s">
        <v>1308</v>
      </c>
      <c r="C9" s="42" t="s">
        <v>1309</v>
      </c>
      <c r="D9" s="43" t="s">
        <v>1310</v>
      </c>
      <c r="E9" s="47" t="s">
        <v>1311</v>
      </c>
      <c r="F9" s="28" t="s">
        <v>1312</v>
      </c>
    </row>
    <row r="10" customFormat="false" ht="51.75" hidden="false" customHeight="true" outlineLevel="0" collapsed="false">
      <c r="A10" s="67" t="s">
        <v>1313</v>
      </c>
      <c r="B10" s="28" t="s">
        <v>1314</v>
      </c>
      <c r="C10" s="42" t="s">
        <v>1315</v>
      </c>
      <c r="D10" s="43" t="s">
        <v>1316</v>
      </c>
      <c r="E10" s="47" t="s">
        <v>1317</v>
      </c>
      <c r="F10" s="28" t="s">
        <v>1318</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7570"/>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28"/>
    <col collapsed="false" customWidth="true" hidden="false" outlineLevel="0" max="3" min="3" style="1" width="36"/>
    <col collapsed="false" customWidth="true" hidden="false" outlineLevel="0" max="4" min="4" style="1" width="46"/>
    <col collapsed="false" customWidth="true" hidden="false" outlineLevel="0" max="5" min="5" style="1" width="22"/>
  </cols>
  <sheetData>
    <row r="1" customFormat="false" ht="27.75" hidden="false" customHeight="true" outlineLevel="0" collapsed="false">
      <c r="A1" s="24" t="s">
        <v>1319</v>
      </c>
      <c r="B1" s="24"/>
      <c r="C1" s="24"/>
      <c r="D1" s="24"/>
      <c r="E1" s="24"/>
    </row>
    <row r="3" customFormat="false" ht="27.75" hidden="false" customHeight="true" outlineLevel="0" collapsed="false">
      <c r="A3" s="7" t="s">
        <v>1320</v>
      </c>
      <c r="B3" s="7" t="s">
        <v>1321</v>
      </c>
      <c r="C3" s="7" t="s">
        <v>1322</v>
      </c>
      <c r="D3" s="7" t="s">
        <v>1323</v>
      </c>
      <c r="E3" s="7" t="s">
        <v>13</v>
      </c>
    </row>
    <row r="4" customFormat="false" ht="79.5" hidden="false" customHeight="true" outlineLevel="0" collapsed="false">
      <c r="A4" s="9" t="s">
        <v>1324</v>
      </c>
      <c r="B4" s="9" t="s">
        <v>1325</v>
      </c>
      <c r="C4" s="9" t="s">
        <v>1326</v>
      </c>
      <c r="D4" s="9" t="s">
        <v>1327</v>
      </c>
      <c r="E4" s="9" t="s">
        <v>1328</v>
      </c>
    </row>
    <row r="5" customFormat="false" ht="79.5" hidden="false" customHeight="true" outlineLevel="0" collapsed="false">
      <c r="A5" s="9" t="s">
        <v>1329</v>
      </c>
      <c r="B5" s="9" t="s">
        <v>1330</v>
      </c>
      <c r="C5" s="9" t="s">
        <v>1331</v>
      </c>
      <c r="D5" s="9" t="s">
        <v>1332</v>
      </c>
      <c r="E5" s="9" t="s">
        <v>1333</v>
      </c>
    </row>
    <row r="6" customFormat="false" ht="79.5" hidden="false" customHeight="true" outlineLevel="0" collapsed="false">
      <c r="A6" s="9" t="s">
        <v>1334</v>
      </c>
      <c r="B6" s="9" t="s">
        <v>1335</v>
      </c>
      <c r="C6" s="9" t="s">
        <v>1336</v>
      </c>
      <c r="D6" s="9" t="s">
        <v>1337</v>
      </c>
      <c r="E6" s="9" t="s">
        <v>1338</v>
      </c>
    </row>
    <row r="7" customFormat="false" ht="79.5" hidden="false" customHeight="true" outlineLevel="0" collapsed="false">
      <c r="A7" s="9" t="s">
        <v>1339</v>
      </c>
      <c r="B7" s="9" t="s">
        <v>1340</v>
      </c>
      <c r="C7" s="9" t="s">
        <v>1341</v>
      </c>
      <c r="D7" s="9" t="s">
        <v>1342</v>
      </c>
      <c r="E7" s="9" t="s">
        <v>1343</v>
      </c>
    </row>
    <row r="8" customFormat="false" ht="79.5" hidden="false" customHeight="true" outlineLevel="0" collapsed="false">
      <c r="A8" s="9" t="s">
        <v>1344</v>
      </c>
      <c r="B8" s="9" t="s">
        <v>1345</v>
      </c>
      <c r="C8" s="9" t="s">
        <v>1346</v>
      </c>
      <c r="D8" s="9" t="s">
        <v>1347</v>
      </c>
      <c r="E8" s="9" t="s">
        <v>1348</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2026-06-19T11:47:21Z</dcterms:created>
  <dc:creator>openpyxl</dc:creator>
  <dc:description/>
  <dc:language>en-US</dc:language>
  <cp:lastModifiedBy/>
  <dcterms:modified xsi:type="dcterms:W3CDTF">2026-06-19T11:55:15Z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