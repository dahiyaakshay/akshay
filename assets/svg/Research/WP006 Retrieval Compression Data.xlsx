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search_Assumptions" sheetId="2" state="visible" r:id="rId4"/>
    <sheet name="GT_V1_Semrush" sheetId="3" state="visible" r:id="rId5"/>
    <sheet name="GT_V2_WebFX" sheetId="4" state="visible" r:id="rId6"/>
    <sheet name="Prompt_Template" sheetId="5" state="visible" r:id="rId7"/>
    <sheet name="Run_Log" sheetId="6" state="visible" r:id="rId8"/>
    <sheet name="Claude_V1_Classification" sheetId="7" state="visible" r:id="rId9"/>
    <sheet name="ChatGPT_V1_Classification" sheetId="8" state="visible" r:id="rId10"/>
    <sheet name="Gemini_V1_Classification" sheetId="9" state="visible" r:id="rId11"/>
    <sheet name="Claude_V2_Classification" sheetId="10" state="visible" r:id="rId12"/>
    <sheet name="ChatGPT_V2_Classification" sheetId="11" state="visible" r:id="rId13"/>
    <sheet name="Gemini_V2_Classification" sheetId="12" state="visible" r:id="rId14"/>
    <sheet name="Metrics_Calculator" sheetId="13" state="visible" r:id="rId15"/>
    <sheet name="Score_Comparison" sheetId="14" state="visible" r:id="rId16"/>
    <sheet name="Score_Discrimination" sheetId="15" state="visible" r:id="rId17"/>
    <sheet name="Competitor_Scores" sheetId="16" state="visible" r:id="rId18"/>
    <sheet name="Competitor_Rankings" sheetId="17" state="visible" r:id="rId19"/>
    <sheet name="Recommendations_Log" sheetId="18" state="visible" r:id="rId20"/>
    <sheet name="GT_Accuracy" sheetId="19" state="visible" r:id="rId21"/>
    <sheet name="Findings_Traceability" sheetId="20" state="visible" r:id="rId22"/>
    <sheet name="Cross_Paper_Comparison" sheetId="21" state="visible" r:id="rId23"/>
    <sheet name="Limitations" sheetId="22" state="visible" r:id="rId24"/>
    <sheet name="Boundary_Cases"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<sst xmlns="http://schemas.openxmlformats.org/spreadsheetml/2006/main" count="2589" uniqueCount="987">
  <si>
    <t xml:space="preserve">WP006 Research Appendix — Retrieval Compression for AI Retrievability</t>
  </si>
  <si>
    <t xml:space="preserve">Working Paper No. 006 · Akshay Dahiya · AI Spider Pre-Build Validation Series · 2025-2026</t>
  </si>
  <si>
    <t xml:space="preserve">HOW TO USE THIS WORKBOOK</t>
  </si>
  <si>
    <t xml:space="preserve">This workbook is the complete research audit trail for WP006. Every number published in the whitepaper is traceable to a specific cell in one of the 22 sheets below.</t>
  </si>
  <si>
    <t xml:space="preserve">Ground truth sheets (GT_V1 and GT_V2) contain MANUAL sentence-level labels established before any model was run — this is the most important sheet for an auditor.</t>
  </si>
  <si>
    <t xml:space="preserve">Classification sheets (6 sheets, one per model per vertical) contain every sentence as classified by that model — the primary raw data.</t>
  </si>
  <si>
    <t xml:space="preserve">Metrics_Calculator derives all four metrics (Fact-to-Claim ratio, Evidence Support ratio, Density, Score) via formula from classification sheet counts.</t>
  </si>
  <si>
    <t xml:space="preserve">Colour convention: BLUE text = hardcoded input | BLACK = formula | GREEN = cross-sheet link | AMBER = ground truth reference | RED = flagged divergence from GT.</t>
  </si>
  <si>
    <t xml:space="preserve">SHEET INDEX</t>
  </si>
  <si>
    <t xml:space="preserve">#</t>
  </si>
  <si>
    <t xml:space="preserve">Sheet Name</t>
  </si>
  <si>
    <t xml:space="preserve">Purpose</t>
  </si>
  <si>
    <t xml:space="preserve">Whitepaper Section</t>
  </si>
  <si>
    <t xml:space="preserve">Type</t>
  </si>
  <si>
    <t xml:space="preserve">README</t>
  </si>
  <si>
    <t xml:space="preserve">Workbook guide and sheet index</t>
  </si>
  <si>
    <t xml:space="preserve">All</t>
  </si>
  <si>
    <t xml:space="preserve">Navigation</t>
  </si>
  <si>
    <t xml:space="preserve">Research_Assumptions</t>
  </si>
  <si>
    <t xml:space="preserve">Key assumptions and how every headline number was derived</t>
  </si>
  <si>
    <t xml:space="preserve">Abstract, Sec 2</t>
  </si>
  <si>
    <t xml:space="preserve">Assumptions</t>
  </si>
  <si>
    <t xml:space="preserve">GT_V1_Semrush</t>
  </si>
  <si>
    <t xml:space="preserve">Manual ground truth — V1 Semrush KB page, established BEFORE model runs</t>
  </si>
  <si>
    <t xml:space="preserve">Sec 2.4</t>
  </si>
  <si>
    <t xml:space="preserve">Ground truth</t>
  </si>
  <si>
    <t xml:space="preserve">GT_V2_WebFX</t>
  </si>
  <si>
    <t xml:space="preserve">Manual ground truth — V2 WebFX homepage, established BEFORE model runs</t>
  </si>
  <si>
    <t xml:space="preserve">Prompt_Template</t>
  </si>
  <si>
    <t xml:space="preserve">Full 4-stage prompt used identically across all 3 models</t>
  </si>
  <si>
    <t xml:space="preserve">Sec 2.3</t>
  </si>
  <si>
    <t xml:space="preserve">Methodology</t>
  </si>
  <si>
    <t xml:space="preserve">Run_Log</t>
  </si>
  <si>
    <t xml:space="preserve">Timestamped log of all 6 model runs (3 models x 2 verticals)</t>
  </si>
  <si>
    <t xml:space="preserve">Sec 2.5</t>
  </si>
  <si>
    <t xml:space="preserve">Process log</t>
  </si>
  <si>
    <t xml:space="preserve">Claude_V1_Classification</t>
  </si>
  <si>
    <t xml:space="preserve">Sentence-level Fact/Claim/Evidence labels — Claude Sonnet 4.6, V1 Semrush</t>
  </si>
  <si>
    <t xml:space="preserve">Sec 3.1</t>
  </si>
  <si>
    <t xml:space="preserve">Raw classification</t>
  </si>
  <si>
    <t xml:space="preserve">ChatGPT_V1_Classification</t>
  </si>
  <si>
    <t xml:space="preserve">Sentence-level Fact/Claim/Evidence labels — ChatGPT GPT-5.5, V1 Semrush</t>
  </si>
  <si>
    <t xml:space="preserve">Gemini_V1_Classification</t>
  </si>
  <si>
    <t xml:space="preserve">Sentence-level Fact/Claim/Evidence labels — Gemini 3.5 Flash, V1 Semrush</t>
  </si>
  <si>
    <t xml:space="preserve">Claude_V2_Classification</t>
  </si>
  <si>
    <t xml:space="preserve">Sentence-level Fact/Claim/Evidence labels — Claude Sonnet 4.6, V2 WebFX</t>
  </si>
  <si>
    <t xml:space="preserve">Sec 3.2</t>
  </si>
  <si>
    <t xml:space="preserve">ChatGPT_V2_Classification</t>
  </si>
  <si>
    <t xml:space="preserve">Sentence-level Fact/Claim/Evidence labels — ChatGPT GPT-5.5, V2 WebFX</t>
  </si>
  <si>
    <t xml:space="preserve">Gemini_V2_Classification</t>
  </si>
  <si>
    <t xml:space="preserve">Sentence-level Fact/Claim/Evidence labels — Gemini 3.5 Flash, V2 WebFX</t>
  </si>
  <si>
    <t xml:space="preserve">Metrics_Calculator</t>
  </si>
  <si>
    <t xml:space="preserve">All 4 metrics per run derived via formula from classification sheet counts</t>
  </si>
  <si>
    <t xml:space="preserve">Sec 2.2, 3.4</t>
  </si>
  <si>
    <t xml:space="preserve">Derived metrics</t>
  </si>
  <si>
    <t xml:space="preserve">Score_Comparison</t>
  </si>
  <si>
    <t xml:space="preserve">All scores side-by-side vs ground truth ranges, delta calculations</t>
  </si>
  <si>
    <t xml:space="preserve">Sec 3.4, Fig 7</t>
  </si>
  <si>
    <t xml:space="preserve">Comparison</t>
  </si>
  <si>
    <t xml:space="preserve">Score_Discrimination</t>
  </si>
  <si>
    <t xml:space="preserve">Proves V2 &gt; V1 per model; discrimination gap table (source: Fig 5)</t>
  </si>
  <si>
    <t xml:space="preserve">Sec 3.3</t>
  </si>
  <si>
    <t xml:space="preserve">Validation</t>
  </si>
  <si>
    <t xml:space="preserve">Competitor_Scores</t>
  </si>
  <si>
    <t xml:space="preserve">Score estimates: 4 competitors x 2 verticals x 3 models = 24 estimates</t>
  </si>
  <si>
    <t xml:space="preserve">Sec 3.3, Fig 6</t>
  </si>
  <si>
    <t xml:space="preserve">Analysis</t>
  </si>
  <si>
    <t xml:space="preserve">Competitor_Rankings</t>
  </si>
  <si>
    <t xml:space="preserve">Rank order derived per vertical per model from competitor scores</t>
  </si>
  <si>
    <t xml:space="preserve">Sec 3.3, F5</t>
  </si>
  <si>
    <t xml:space="preserve">Derived</t>
  </si>
  <si>
    <t xml:space="preserve">Recommendations_Log</t>
  </si>
  <si>
    <t xml:space="preserve">Type-split recommendations (Fact / Evidence / Claim) per page per model</t>
  </si>
  <si>
    <t xml:space="preserve">Sec 4 F6</t>
  </si>
  <si>
    <t xml:space="preserve">Outputs</t>
  </si>
  <si>
    <t xml:space="preserve">GT_Accuracy</t>
  </si>
  <si>
    <t xml:space="preserve">Delta between each model and ground truth per metric — quantifies calibration</t>
  </si>
  <si>
    <t xml:space="preserve">Sec 3.4 F4</t>
  </si>
  <si>
    <t xml:space="preserve">Findings_Traceability</t>
  </si>
  <si>
    <t xml:space="preserve">F1-F6 each mapped to supporting sheets and cells</t>
  </si>
  <si>
    <t xml:space="preserve">Sec 4</t>
  </si>
  <si>
    <t xml:space="preserve">Audit trail</t>
  </si>
  <si>
    <t xml:space="preserve">Cross_Paper_Comparison</t>
  </si>
  <si>
    <t xml:space="preserve">WP001-006 model verdict pattern across all six papers</t>
  </si>
  <si>
    <t xml:space="preserve">Sec 4 series finding</t>
  </si>
  <si>
    <t xml:space="preserve">Series</t>
  </si>
  <si>
    <t xml:space="preserve">Limitations</t>
  </si>
  <si>
    <t xml:space="preserve">Known limitations and caveats affecting result precision</t>
  </si>
  <si>
    <t xml:space="preserve">Sec 6</t>
  </si>
  <si>
    <t xml:space="preserve">Research Assumptions and Key Number Derivations</t>
  </si>
  <si>
    <t xml:space="preserve">How every headline figure in WP006 was calculated — the fast-path for any auditor</t>
  </si>
  <si>
    <t xml:space="preserve">This sheet answers the question a researcher asks first: where did these numbers come from, and what assumption underlies each one?</t>
  </si>
  <si>
    <t xml:space="preserve">All six model-run figures (Facts, Claims, Evidence, Scores) are recorded here with their source and derivation logic.</t>
  </si>
  <si>
    <t xml:space="preserve">Ground truth figures are marked AMBER. Model outputs are BLUE inputs. Formula-derived values are BLACK.</t>
  </si>
  <si>
    <t xml:space="preserve">SECTION 1 — Core Research Design</t>
  </si>
  <si>
    <t xml:space="preserve">Parameter</t>
  </si>
  <si>
    <t xml:space="preserve">Value</t>
  </si>
  <si>
    <t xml:space="preserve">Derivation / Source</t>
  </si>
  <si>
    <t xml:space="preserve">Assumption Made</t>
  </si>
  <si>
    <t xml:space="preserve">Verify In</t>
  </si>
  <si>
    <t xml:space="preserve">Models tested</t>
  </si>
  <si>
    <t xml:space="preserve">3 (Claude Sonnet 4.6, ChatGPT GPT-5.5, Gemini 3.5 Flash)</t>
  </si>
  <si>
    <t xml:space="preserve">Selected from WP001-005 incumbents; Qwen excluded after WP002</t>
  </si>
  <si>
    <t xml:space="preserve">3 models provide sufficient triangulation for boundary disagreement analysis without excessive runtime</t>
  </si>
  <si>
    <t xml:space="preserve">Run_Log, Sec 2.5</t>
  </si>
  <si>
    <t xml:space="preserve">Verticals tested</t>
  </si>
  <si>
    <t xml:space="preserve">2 (V1: AI/GEO Tools, V2: Digital Marketing Agency)</t>
  </si>
  <si>
    <t xml:space="preserve">V1 = Semrush KB page (low-evidence, carried from WP001-004). V2 = WebFX homepage (high-evidence benchmark)</t>
  </si>
  <si>
    <t xml:space="preserve">Two pages chosen to maximise discrimination: one MEDIUM, one HIGH density, allowing the score gap to be measured</t>
  </si>
  <si>
    <t xml:space="preserve">GT_V1_Semrush, GT_V2_WebFX, Sec 2.4</t>
  </si>
  <si>
    <t xml:space="preserve">Total model runs</t>
  </si>
  <si>
    <t xml:space="preserve">6 (3 models x 2 verticals)</t>
  </si>
  <si>
    <t xml:space="preserve">Each run is independent — same prompt, fresh context, no conversation history</t>
  </si>
  <si>
    <t xml:space="preserve">Prompt version</t>
  </si>
  <si>
    <t xml:space="preserve">v1.0 — identical across all 3 models</t>
  </si>
  <si>
    <t xml:space="preserve">A single prompt template with embedded classification definitions, no model-specific variants</t>
  </si>
  <si>
    <t xml:space="preserve">Identical prompt is the experimental control. Any score difference is attributable to the model, not the prompt</t>
  </si>
  <si>
    <t xml:space="preserve">Ground truth method</t>
  </si>
  <si>
    <t xml:space="preserve">Manual sentence-by-sentence labelling by researcher before model runs</t>
  </si>
  <si>
    <t xml:space="preserve">Each significant sentence on both pages was manually classified as Fact, Claim, or Evidence before any model was queried</t>
  </si>
  <si>
    <t xml:space="preserve">Manual GT established first to prevent anchoring — researcher labels were locked before any model output was seen</t>
  </si>
  <si>
    <t xml:space="preserve">GT_V1_Semrush, GT_V2_WebFX</t>
  </si>
  <si>
    <t xml:space="preserve">Key Fact/Claim boundary</t>
  </si>
  <si>
    <t xml:space="preserve">Feature descriptions = Claims, not Facts</t>
  </si>
  <si>
    <t xml:space="preserve">A sentence like 'benchmarks brand AI visibility' asserts a capability without verifiable specifics = Claim. A sentence like '$99/month pricing' = Fact.</t>
  </si>
  <si>
    <t xml:space="preserve">This boundary is the single most consequential assumption in the study. ChatGPT crossed it; Claude and Gemini respected it.</t>
  </si>
  <si>
    <t xml:space="preserve">GT_V1_Semrush, GT_Accuracy, Sec 2.1</t>
  </si>
  <si>
    <t xml:space="preserve">SECTION 2 — Headline Number Derivations</t>
  </si>
  <si>
    <t xml:space="preserve">Headline Figure</t>
  </si>
  <si>
    <t xml:space="preserve">Published Value</t>
  </si>
  <si>
    <t xml:space="preserve">Source</t>
  </si>
  <si>
    <t xml:space="preserve">Formula / Logic</t>
  </si>
  <si>
    <t xml:space="preserve">GT Range</t>
  </si>
  <si>
    <t xml:space="preserve">V1 Semrush – Claude Fact count</t>
  </si>
  <si>
    <t xml:space="preserve">COUNTIF(classification_col, 'FACT') — see Metrics_Calculator for live formula</t>
  </si>
  <si>
    <t xml:space="preserve">~11 (GT)</t>
  </si>
  <si>
    <t xml:space="preserve">Claude_V1_Classification, Metrics_Calculator</t>
  </si>
  <si>
    <t xml:space="preserve">V1 Semrush – ChatGPT Fact count</t>
  </si>
  <si>
    <t xml:space="preserve">COUNTIF(classification_col, 'FACT') — INFLATED: feature descriptions counted as Facts</t>
  </si>
  <si>
    <t xml:space="preserve">ChatGPT_V1_Classification, GT_Accuracy</t>
  </si>
  <si>
    <t xml:space="preserve">V1 Semrush – Gemini Fact count</t>
  </si>
  <si>
    <t xml:space="preserve">Gemini_V1_Classification, Metrics_Calculator</t>
  </si>
  <si>
    <t xml:space="preserve">V1 Semrush – Claude Score</t>
  </si>
  <si>
    <t xml:space="preserve">Composite 0-100: weighted F-to-C ratio (60%) + Evidence Support ratio (40%), penalised for zero evidence</t>
  </si>
  <si>
    <t xml:space="preserve">45-55 (GT)</t>
  </si>
  <si>
    <t xml:space="preserve">Metrics_Calculator, Score_Comparison</t>
  </si>
  <si>
    <t xml:space="preserve">V1 Semrush – ChatGPT Score</t>
  </si>
  <si>
    <t xml:space="preserve">Same formula — inflated by high false-Fact count driving F-to-C ratio to 85.7%</t>
  </si>
  <si>
    <t xml:space="preserve">V1 Semrush – Gemini Score</t>
  </si>
  <si>
    <t xml:space="preserve">Same formula — F-to-C ratio 63.6%, zero evidence, moderate penalty applied</t>
  </si>
  <si>
    <t xml:space="preserve">V2 WebFX – Claude Fact count</t>
  </si>
  <si>
    <t xml:space="preserve">~14 (GT)</t>
  </si>
  <si>
    <t xml:space="preserve">V2 WebFX – Claude Evidence count</t>
  </si>
  <si>
    <t xml:space="preserve">COUNTIF(classification_col, 'EVIDENCE') — most accurate evidence detection of 3 models</t>
  </si>
  <si>
    <t xml:space="preserve">~5-6 (GT)</t>
  </si>
  <si>
    <t xml:space="preserve">Claude_V2_Classification, GT_Accuracy</t>
  </si>
  <si>
    <t xml:space="preserve">V2 WebFX – Gemini Evidence count</t>
  </si>
  <si>
    <t xml:space="preserve">UNDER-DETECTED: missed 1.8X lead growth benchmark, 15% ROI, manufacturing case study</t>
  </si>
  <si>
    <t xml:space="preserve">Gemini_V2_Classification, GT_Accuracy, Findings_Traceability F3</t>
  </si>
  <si>
    <t xml:space="preserve">V2 WebFX – Claude Score</t>
  </si>
  <si>
    <t xml:space="preserve">Only score within GT range (78-88). High F-to-C (80%) + Evidence Support (200%)</t>
  </si>
  <si>
    <t xml:space="preserve">78-88 (GT)</t>
  </si>
  <si>
    <t xml:space="preserve">Score discrimination Claude</t>
  </si>
  <si>
    <t xml:space="preserve">+23 pts (58 -&gt; 81)</t>
  </si>
  <si>
    <t xml:space="preserve">Score_Discrimination!D5 (Claude V2 - Claude V1)</t>
  </si>
  <si>
    <t xml:space="preserve">Positive required</t>
  </si>
  <si>
    <t xml:space="preserve">Score discrimination ChatGPT</t>
  </si>
  <si>
    <t xml:space="preserve">+20 pts (72 -&gt; 92)</t>
  </si>
  <si>
    <t xml:space="preserve">Score_Discrimination!D6 (ChatGPT V2 - ChatGPT V1)</t>
  </si>
  <si>
    <t xml:space="preserve">Score discrimination Gemini</t>
  </si>
  <si>
    <t xml:space="preserve">+32 pts (60 -&gt; 92)</t>
  </si>
  <si>
    <t xml:space="preserve">Score_Discrimination!D7 (Gemini V2 - Gemini V1)</t>
  </si>
  <si>
    <t xml:space="preserve">SECTION 3 — Metric Formula Reference</t>
  </si>
  <si>
    <t xml:space="preserve">Fact-to-Claim Ratio = Facts / (Facts + Claims)   e.g. Claude V1: 14/(14+8) = 63.6%</t>
  </si>
  <si>
    <t xml:space="preserve">Evidence Support Ratio = Evidence / Claims        e.g. Claude V2: 8/4 = 200%</t>
  </si>
  <si>
    <t xml:space="preserve">Density = HIGH if F-to-C &gt;= 50% AND Evidence &gt;= (Claims/3)  |  MEDIUM if F-to-C 30-50% OR limited evidence  |  LOW if below 30%</t>
  </si>
  <si>
    <t xml:space="preserve">Compression Score = composite 0-100: F-to-C weighted 60%, Evidence Support weighted 40%, penalised for zero evidence regardless of F-to-C</t>
  </si>
  <si>
    <t xml:space="preserve">Score Gap = V2 Score - V1 Score per model (must be positive to confirm discrimination — validated in Score_Discrimination sheet)</t>
  </si>
  <si>
    <t xml:space="preserve">Ground Truth — V1 Semrush AI Visibility Toolkit KB Page</t>
  </si>
  <si>
    <t xml:space="preserve">Manual sentence-level classification established BEFORE any model run. Timestamped: 2025-10-14.</t>
  </si>
  <si>
    <t xml:space="preserve">PURPOSE: This is the most important sheet for reproducibility. Ground truth was established by the researcher</t>
  </si>
  <si>
    <t xml:space="preserve">reading the Semrush KB page sentence by sentence and classifying each per the definitions in Prompt_Template.</t>
  </si>
  <si>
    <t xml:space="preserve">These labels were LOCKED before Claude, ChatGPT, or Gemini were queried. See Run_Log for date confirmation.</t>
  </si>
  <si>
    <t xml:space="preserve">The Fact/Claim boundary note: feature descriptions ('identifies competitive gaps') = CLAIM. Only verifiable specifics = FACT.</t>
  </si>
  <si>
    <t xml:space="preserve">  GROUND TRUTH LABEL: Manual researcher classification | Date locked: 2025-10-14 | NOT a model output</t>
  </si>
  <si>
    <t xml:space="preserve">Sentence ID</t>
  </si>
  <si>
    <t xml:space="preserve">Sentence Text (from Semrush KB page)</t>
  </si>
  <si>
    <t xml:space="preserve">GT Label</t>
  </si>
  <si>
    <t xml:space="preserve">Rationale</t>
  </si>
  <si>
    <t xml:space="preserve">Boundary Case?</t>
  </si>
  <si>
    <t xml:space="preserve">Whitepaper Ref</t>
  </si>
  <si>
    <t xml:space="preserve">V1-S01</t>
  </si>
  <si>
    <t xml:space="preserve">$99/month — Semrush AI Visibility Toolkit entry price</t>
  </si>
  <si>
    <t xml:space="preserve">FACT</t>
  </si>
  <si>
    <t xml:space="preserve">Specific verifiable price point</t>
  </si>
  <si>
    <t xml:space="preserve">No</t>
  </si>
  <si>
    <t xml:space="preserve">Sec 2.4, GT Fact #1</t>
  </si>
  <si>
    <t xml:space="preserve">V1-S02</t>
  </si>
  <si>
    <t xml:space="preserve">261M+ prompts in the monitoring database</t>
  </si>
  <si>
    <t xml:space="preserve">Specific, verifiable quantity</t>
  </si>
  <si>
    <t xml:space="preserve">Sec 2.4, GT Fact #2</t>
  </si>
  <si>
    <t xml:space="preserve">V1-S03</t>
  </si>
  <si>
    <t xml:space="preserve">Available in Business and Enterprise plans</t>
  </si>
  <si>
    <t xml:space="preserve">Specific plan tier — verifiable from pricing page</t>
  </si>
  <si>
    <t xml:space="preserve">Sec 2.4, GT Fact #3</t>
  </si>
  <si>
    <t xml:space="preserve">V1-S04</t>
  </si>
  <si>
    <t xml:space="preserve">Monitors brand visibility across ChatGPT, Gemini, Perplexity, Claude, Copilot</t>
  </si>
  <si>
    <t xml:space="preserve">Named platforms — verifiable specific list</t>
  </si>
  <si>
    <t xml:space="preserve">Sec 2.4, GT Fact #4</t>
  </si>
  <si>
    <t xml:space="preserve">V1-S05</t>
  </si>
  <si>
    <t xml:space="preserve">AI Visibility Score updated daily</t>
  </si>
  <si>
    <t xml:space="preserve">Specific update frequency — verifiable</t>
  </si>
  <si>
    <t xml:space="preserve">Borderline</t>
  </si>
  <si>
    <t xml:space="preserve">Sec 2.4, GT Fact #5</t>
  </si>
  <si>
    <t xml:space="preserve">V1-S06</t>
  </si>
  <si>
    <t xml:space="preserve">Visibility Overview report shows AI Visibility Score</t>
  </si>
  <si>
    <t xml:space="preserve">Named report with named output — specific enough to be verifiable</t>
  </si>
  <si>
    <t xml:space="preserve">Sec 2.4, GT Fact #6</t>
  </si>
  <si>
    <t xml:space="preserve">V1-S07</t>
  </si>
  <si>
    <t xml:space="preserve">Market Explorer shows category-level AI share data</t>
  </si>
  <si>
    <t xml:space="preserve">Named feature with named output</t>
  </si>
  <si>
    <t xml:space="preserve">Sec 2.4, GT Fact #7</t>
  </si>
  <si>
    <t xml:space="preserve">V1-S08</t>
  </si>
  <si>
    <t xml:space="preserve">Tracks changes in AI mentions over time</t>
  </si>
  <si>
    <t xml:space="preserve">Specific function, directional — verifiable by testing the tool</t>
  </si>
  <si>
    <t xml:space="preserve">Sec 2.4, GT Fact #8</t>
  </si>
  <si>
    <t xml:space="preserve">V1-S09</t>
  </si>
  <si>
    <t xml:space="preserve">Prompt Explorer shows which prompts trigger brand mentions</t>
  </si>
  <si>
    <t xml:space="preserve">Named feature with named, specific output type</t>
  </si>
  <si>
    <t xml:space="preserve">Sec 2.4, GT Fact #9</t>
  </si>
  <si>
    <t xml:space="preserve">V1-S10</t>
  </si>
  <si>
    <t xml:space="preserve">Prompt library contains 261M+ entries</t>
  </si>
  <si>
    <t xml:space="preserve">Same database figure — specific</t>
  </si>
  <si>
    <t xml:space="preserve">Sec 2.4, GT Fact #10</t>
  </si>
  <si>
    <t xml:space="preserve">V1-S11</t>
  </si>
  <si>
    <t xml:space="preserve">AI Visibility Score ranges 0-100</t>
  </si>
  <si>
    <t xml:space="preserve">Specific scale definition — verifiable</t>
  </si>
  <si>
    <t xml:space="preserve">Sec 2.4, GT Fact #11</t>
  </si>
  <si>
    <t xml:space="preserve">V1-S12</t>
  </si>
  <si>
    <t xml:space="preserve">Benchmarks brand AI visibility against competitors</t>
  </si>
  <si>
    <t xml:space="preserve">CLAIM</t>
  </si>
  <si>
    <t xml:space="preserve">Asserts capability — no specific benchmark metric or method stated. KEY BOUNDARY CASE.</t>
  </si>
  <si>
    <t xml:space="preserve">YES — Fact/Claim line</t>
  </si>
  <si>
    <t xml:space="preserve">Sec 2.1, F2 in findings</t>
  </si>
  <si>
    <t xml:space="preserve">V1-S13</t>
  </si>
  <si>
    <t xml:space="preserve">Analyses brand perception in AI responses</t>
  </si>
  <si>
    <t xml:space="preserve">Asserts capability without measurable output description</t>
  </si>
  <si>
    <t xml:space="preserve">Sec 2.1</t>
  </si>
  <si>
    <t xml:space="preserve">V1-S14</t>
  </si>
  <si>
    <t xml:space="preserve">Identifies competitive gaps in AI visibility</t>
  </si>
  <si>
    <t xml:space="preserve">Asserts outcome ('identifies gaps') without defining what a gap is or how it is measured</t>
  </si>
  <si>
    <t xml:space="preserve">Sec 2.1, F6 example</t>
  </si>
  <si>
    <t xml:space="preserve">V1-S15</t>
  </si>
  <si>
    <t xml:space="preserve">Improves brand discoverability in AI search</t>
  </si>
  <si>
    <t xml:space="preserve">Asserts outcome — no evidence of improvement provided</t>
  </si>
  <si>
    <t xml:space="preserve">V1-S16</t>
  </si>
  <si>
    <t xml:space="preserve">Helps teams understand how AI models perceive their brand</t>
  </si>
  <si>
    <t xml:space="preserve">Vague outcome assertion — no measurable definition</t>
  </si>
  <si>
    <t xml:space="preserve">V1-S17</t>
  </si>
  <si>
    <t xml:space="preserve">Generates presentation-ready reports</t>
  </si>
  <si>
    <t xml:space="preserve">Asserts output quality ('presentation-ready') — no format specs. F6 rec: replace with export formats.</t>
  </si>
  <si>
    <t xml:space="preserve">YES</t>
  </si>
  <si>
    <t xml:space="preserve">V1-S18</t>
  </si>
  <si>
    <t xml:space="preserve">Drives measurable growth through AI search optimisation</t>
  </si>
  <si>
    <t xml:space="preserve">Outcome claim with no supporting measurement</t>
  </si>
  <si>
    <t xml:space="preserve">V1-S19</t>
  </si>
  <si>
    <t xml:space="preserve">Best-in-class AI monitoring solution</t>
  </si>
  <si>
    <t xml:space="preserve">Superlative claim — no comparative evidence</t>
  </si>
  <si>
    <t xml:space="preserve">V1-S20</t>
  </si>
  <si>
    <t xml:space="preserve">Leading platform for AI brand monitoring</t>
  </si>
  <si>
    <t xml:space="preserve">Superlative/positioning claim — no supporting data</t>
  </si>
  <si>
    <t xml:space="preserve">V1-S21</t>
  </si>
  <si>
    <t xml:space="preserve">Trusted by marketing teams worldwide</t>
  </si>
  <si>
    <t xml:space="preserve">Vague trust assertion — no count, no named users</t>
  </si>
  <si>
    <t xml:space="preserve">V1-S22</t>
  </si>
  <si>
    <t xml:space="preserve">No evidence items found on the Semrush KB page</t>
  </si>
  <si>
    <t xml:space="preserve">EVIDENCE</t>
  </si>
  <si>
    <t xml:space="preserve">GT = 0 evidence items. No named case studies, no third-party ratings, no attributed statistics on this page.</t>
  </si>
  <si>
    <t xml:space="preserve">Sec 2.4, critical for score penalty</t>
  </si>
  <si>
    <t xml:space="preserve">GROUND TRUTH TOTALS (pre-model, locked)</t>
  </si>
  <si>
    <t xml:space="preserve">GT Fact count</t>
  </si>
  <si>
    <t xml:space="preserve">~11 (published GT range)</t>
  </si>
  <si>
    <t xml:space="preserve">GT Claim count</t>
  </si>
  <si>
    <t xml:space="preserve">~10-12 (published GT range)</t>
  </si>
  <si>
    <t xml:space="preserve">GT Evidence count</t>
  </si>
  <si>
    <t xml:space="preserve">0 (last row is a note, subtract 1)</t>
  </si>
  <si>
    <t xml:space="preserve">GT Fact-to-Claim ratio</t>
  </si>
  <si>
    <t xml:space="preserve">~48% expected</t>
  </si>
  <si>
    <t xml:space="preserve">GT Density expectation</t>
  </si>
  <si>
    <t xml:space="preserve">MEDIUM</t>
  </si>
  <si>
    <t xml:space="preserve">F-to-C ~48%, zero evidence -&gt; MEDIUM threshold</t>
  </si>
  <si>
    <t xml:space="preserve">GT Score range</t>
  </si>
  <si>
    <t xml:space="preserve">45-55</t>
  </si>
  <si>
    <t xml:space="preserve">Based on GT ratios — conservative score given zero evidence</t>
  </si>
  <si>
    <t xml:space="preserve">Ground Truth — V2 WebFX Homepage</t>
  </si>
  <si>
    <t xml:space="preserve">PURPOSE: WebFX was selected as the high-evidence benchmark — one of the most evidence-rich agency homepages in the sector.</t>
  </si>
  <si>
    <t xml:space="preserve">Ground truth was established by the researcher before any model was queried. Date locked: 2025-10-14.</t>
  </si>
  <si>
    <t xml:space="preserve">Expected to score materially higher than Semrush (HIGH density vs MEDIUM), confirming the module discriminates correctly.</t>
  </si>
  <si>
    <t xml:space="preserve">Key test: Gemini only found 2 evidence items here vs GT ~5-6. That gap is the basis for Finding F3.</t>
  </si>
  <si>
    <t xml:space="preserve">Sentence Text (from WebFX homepage)</t>
  </si>
  <si>
    <t xml:space="preserve">Evidence Type (if applicable)</t>
  </si>
  <si>
    <t xml:space="preserve">V2-S01</t>
  </si>
  <si>
    <t xml:space="preserve">$10 billion+ in client revenue generated</t>
  </si>
  <si>
    <t xml:space="preserve">Specific verifiable aggregate figure</t>
  </si>
  <si>
    <t xml:space="preserve">V2-S02</t>
  </si>
  <si>
    <t xml:space="preserve">500+ digital experts on staff</t>
  </si>
  <si>
    <t xml:space="preserve">Verifiable staff count approximation</t>
  </si>
  <si>
    <t xml:space="preserve">V2-S03</t>
  </si>
  <si>
    <t xml:space="preserve">28 years of experience (founded 1996)</t>
  </si>
  <si>
    <t xml:space="preserve">Verifiable founding year / tenure</t>
  </si>
  <si>
    <t xml:space="preserve">V2-S04</t>
  </si>
  <si>
    <t xml:space="preserve">Rated 4.9/5 on Clutch with 700+ reviews</t>
  </si>
  <si>
    <t xml:space="preserve">Specific platform, specific score, specific review count</t>
  </si>
  <si>
    <t xml:space="preserve">V2-S05</t>
  </si>
  <si>
    <t xml:space="preserve">G2 4.8/5 rating</t>
  </si>
  <si>
    <t xml:space="preserve">Named platform, specific score</t>
  </si>
  <si>
    <t xml:space="preserve">V2-S06</t>
  </si>
  <si>
    <t xml:space="preserve">Gartner Cool Vendor 2024</t>
  </si>
  <si>
    <t xml:space="preserve">Named third-party award, specific year</t>
  </si>
  <si>
    <t xml:space="preserve">V2-S07</t>
  </si>
  <si>
    <t xml:space="preserve">Serves clients in 154 industries</t>
  </si>
  <si>
    <t xml:space="preserve">Specific count — verifiable</t>
  </si>
  <si>
    <t xml:space="preserve">V2-S08</t>
  </si>
  <si>
    <t xml:space="preserve">Offices across the US including Harrisburg PA (HQ)</t>
  </si>
  <si>
    <t xml:space="preserve">Named location — verifiable</t>
  </si>
  <si>
    <t xml:space="preserve">V2-S09</t>
  </si>
  <si>
    <t xml:space="preserve">Proprietary platform: MarketingCloudFX</t>
  </si>
  <si>
    <t xml:space="preserve">Named, specific product</t>
  </si>
  <si>
    <t xml:space="preserve">V2-S10</t>
  </si>
  <si>
    <t xml:space="preserve">1.8X industry average lead growth benchmark</t>
  </si>
  <si>
    <t xml:space="preserve">Specific comparative benchmark</t>
  </si>
  <si>
    <t xml:space="preserve">V2-S11</t>
  </si>
  <si>
    <t xml:space="preserve">Client revenue tracked: $10B+ across portfolio</t>
  </si>
  <si>
    <t xml:space="preserve">Same figure reconfirmed in different context</t>
  </si>
  <si>
    <t xml:space="preserve">V2-S12</t>
  </si>
  <si>
    <t xml:space="preserve">Net Friends case study: organic traffic up 100%+</t>
  </si>
  <si>
    <t xml:space="preserve">Named case study with measurable named outcome</t>
  </si>
  <si>
    <t xml:space="preserve">Named case study</t>
  </si>
  <si>
    <t xml:space="preserve">Sec 2.4, F3 — Gemini missed this</t>
  </si>
  <si>
    <t xml:space="preserve">V2-S13</t>
  </si>
  <si>
    <t xml:space="preserve">Manufacturing client: 30% ROI improvement</t>
  </si>
  <si>
    <t xml:space="preserve">Specific industry, specific measurable outcome</t>
  </si>
  <si>
    <t xml:space="preserve">Named case study (industry-attributed)</t>
  </si>
  <si>
    <t xml:space="preserve">V2-S14</t>
  </si>
  <si>
    <t xml:space="preserve">15% average ROI improvement across client portfolio</t>
  </si>
  <si>
    <t xml:space="preserve">Specific aggregate metric across portfolio</t>
  </si>
  <si>
    <t xml:space="preserve">Portfolio statistic</t>
  </si>
  <si>
    <t xml:space="preserve">V2-S15</t>
  </si>
  <si>
    <t xml:space="preserve">Clutch #1 ranking (700+ reviews)</t>
  </si>
  <si>
    <t xml:space="preserve">Third-party named rating with source and review count</t>
  </si>
  <si>
    <t xml:space="preserve">Third-party rating</t>
  </si>
  <si>
    <t xml:space="preserve">V2-S16</t>
  </si>
  <si>
    <t xml:space="preserve">Third-party platform rating — supports quality claims</t>
  </si>
  <si>
    <t xml:space="preserve">V2-S17</t>
  </si>
  <si>
    <t xml:space="preserve">1.8X industry average lead generation benchmark</t>
  </si>
  <si>
    <t xml:space="preserve">Comparative benchmark — evidences superior performance claim</t>
  </si>
  <si>
    <t xml:space="preserve">Benchmark comparison</t>
  </si>
  <si>
    <t xml:space="preserve">V2-S18</t>
  </si>
  <si>
    <t xml:space="preserve">Results-driven, full-service digital marketing</t>
  </si>
  <si>
    <t xml:space="preserve">Broad positioning claim — no evidence</t>
  </si>
  <si>
    <t xml:space="preserve">V2-S19</t>
  </si>
  <si>
    <t xml:space="preserve">We grow businesses through digital marketing that works</t>
  </si>
  <si>
    <t xml:space="preserve">Outcome claim — no attached evidence</t>
  </si>
  <si>
    <t xml:space="preserve">V2-S20</t>
  </si>
  <si>
    <t xml:space="preserve">Committed to transparency and communication</t>
  </si>
  <si>
    <t xml:space="preserve">Soft claim — no measurable dimension</t>
  </si>
  <si>
    <t xml:space="preserve">V2-S21</t>
  </si>
  <si>
    <t xml:space="preserve">Best-in-class SEO and paid media capabilities</t>
  </si>
  <si>
    <t xml:space="preserve">Superlative without evidence</t>
  </si>
  <si>
    <t xml:space="preserve">~14 expected</t>
  </si>
  <si>
    <t xml:space="preserve">~4-6 expected</t>
  </si>
  <si>
    <t xml:space="preserve">~5-6 expected</t>
  </si>
  <si>
    <t xml:space="preserve">~70-75% expected</t>
  </si>
  <si>
    <t xml:space="preserve">GT Evidence Support ratio</t>
  </si>
  <si>
    <t xml:space="preserve">~100%+ expected</t>
  </si>
  <si>
    <t xml:space="preserve">HIGH</t>
  </si>
  <si>
    <t xml:space="preserve">F-to-C &gt;50% AND evidence &gt;= claims/3 -&gt; HIGH</t>
  </si>
  <si>
    <t xml:space="preserve">78-88</t>
  </si>
  <si>
    <t xml:space="preserve">Based on GT ratios — Claude's 81 is the only model within this range</t>
  </si>
  <si>
    <t xml:space="preserve">Four-Stage Prompt Template v1.0</t>
  </si>
  <si>
    <t xml:space="preserve">Identical prompt used across all 3 models — no model-specific variants. Logged in Run_Log.</t>
  </si>
  <si>
    <t xml:space="preserve">This is the experimental control. Any output difference between models is attributable to the model,</t>
  </si>
  <si>
    <t xml:space="preserve">not the prompt. The classification definitions block (Section A) is the most consequential structural element.</t>
  </si>
  <si>
    <t xml:space="preserve">Without embedded definitions, all 3 models treated feature descriptions as Facts in prototype testing.</t>
  </si>
  <si>
    <t xml:space="preserve">Stage</t>
  </si>
  <si>
    <t xml:space="preserve">Block</t>
  </si>
  <si>
    <t xml:space="preserve">Content</t>
  </si>
  <si>
    <t xml:space="preserve">Critical Note</t>
  </si>
  <si>
    <t xml:space="preserve">SYSTEM ROLE</t>
  </si>
  <si>
    <t xml:space="preserve">Role definition</t>
  </si>
  <si>
    <t xml:space="preserve">You are a Retrieval Compression Analysis engine. Measure how much extractable, citable information exists on a TARGET page vs COMPETITOR pages.</t>
  </si>
  <si>
    <t xml:space="preserve">Anchors model in analytical, not conversational, mode</t>
  </si>
  <si>
    <t xml:space="preserve">DEFINITIONS</t>
  </si>
  <si>
    <t xml:space="preserve">FACT definition</t>
  </si>
  <si>
    <t xml:space="preserve">FACT: Objective statement independently verifiable. Specific numbers, named entities, documented events, measurable limits. Examples: $99/month pricing | 261M+ prompts database | 750+ staff members | 30 years experience</t>
  </si>
  <si>
    <t xml:space="preserve">Critical boundary definition — prevents feature description inflation</t>
  </si>
  <si>
    <t xml:space="preserve">KEY: Prototype testing without this definition caused all 3 models to classify feature descriptions as Facts</t>
  </si>
  <si>
    <t xml:space="preserve">EVIDENCE definition</t>
  </si>
  <si>
    <t xml:space="preserve">EVIDENCE: Supports a Claim. Named studies, attributed statistics, named case studies with outcomes, expert quotes. Examples: #1 on Clutch (700+ reviews) | Gartner Cool Vendor 2024 | 1.8X industry average growth | Manufacturing: 30% ROI</t>
  </si>
  <si>
    <t xml:space="preserve">Requires attribution — unnamed assertions do not qualify</t>
  </si>
  <si>
    <t xml:space="preserve">CLAIM definition</t>
  </si>
  <si>
    <t xml:space="preserve">CLAIM: Asserts benefit, outcome, opinion, or conclusion without evidence. Feature descriptions are Claims unless a specific metric is attached. Examples: Identifies competitive gaps | Drives measurable growth | Improves discoverability | Best in class results</t>
  </si>
  <si>
    <t xml:space="preserve">Feature descriptions explicitly included as Claims — this is the most consequential boundary rule</t>
  </si>
  <si>
    <t xml:space="preserve">KEY: ChatGPT crossed this boundary in V1 despite this definition being embedded</t>
  </si>
  <si>
    <t xml:space="preserve">STAGE 1</t>
  </si>
  <si>
    <t xml:space="preserve">Content classification</t>
  </si>
  <si>
    <t xml:space="preserve">Classify every significant sentence on the TARGET page as FACT, CLAIM, or EVIDENCE using the above definitions. Output three lists: Facts list | Claims list | Evidence list</t>
  </si>
  <si>
    <t xml:space="preserve">Most demanding stage — clause-level reading comprehension required</t>
  </si>
  <si>
    <t xml:space="preserve">This is the raw output that populates the 6 classification sheets in this workbook</t>
  </si>
  <si>
    <t xml:space="preserve">STAGE 2</t>
  </si>
  <si>
    <t xml:space="preserve">Compression metrics</t>
  </si>
  <si>
    <t xml:space="preserve">Calculate: Fact Count | Claim Count | Evidence Count | Fact-to-Claim Ratio (Facts/(Facts+Claims)) | Evidence Support Ratio (Evidence/Claims) | Information Density (HIGH/MEDIUM/LOW per thresholds in Section 2.2 of whitepaper)</t>
  </si>
  <si>
    <t xml:space="preserve">Derives the 4 metrics directly from Stage 1 counts</t>
  </si>
  <si>
    <t xml:space="preserve">Density thresholds: HIGH = F-to-C &gt;=50% AND Evidence &gt;= Claims/3 | MEDIUM = F-to-C 30-50% OR limited evidence | LOW = below 30%</t>
  </si>
  <si>
    <t xml:space="preserve">STAGE 3</t>
  </si>
  <si>
    <t xml:space="preserve">Compression Score 0-100</t>
  </si>
  <si>
    <t xml:space="preserve">Generate a Compression Score between 0 and 100 with 2-3 sentence rationale. Penalise zero evidence regardless of Fact count. Score reflects how much of the page an AI model can extract and cite.</t>
  </si>
  <si>
    <t xml:space="preserve">Composite score — weighted F-to-C ratio + Evidence Support ratio</t>
  </si>
  <si>
    <t xml:space="preserve">Zero-evidence penalty is critical: a page can have high Fact count but zero evidence and still score low</t>
  </si>
  <si>
    <t xml:space="preserve">STAGE 4</t>
  </si>
  <si>
    <t xml:space="preserve">Competitor comparison + split recommendations</t>
  </si>
  <si>
    <t xml:space="preserve">Estimate Compression Scores for 4 competitor pages. Then generate separate recommendations under three headings: Fact Density | Evidence Addition | Claim Reduction. Do not merge these into a single list.</t>
  </si>
  <si>
    <t xml:space="preserve">Type-split recommendations are the key practical output — validated in F6</t>
  </si>
  <si>
    <t xml:space="preserve">Split rec format was chosen because merged quality lists produce undifferentiated editorial guidance</t>
  </si>
  <si>
    <t xml:space="preserve">CONTROL</t>
  </si>
  <si>
    <t xml:space="preserve">Output format constraint</t>
  </si>
  <si>
    <t xml:space="preserve">Respond only with the structured report. No commentary outside the format.</t>
  </si>
  <si>
    <t xml:space="preserve">Ensures comparable, parseable outputs across all 3 models</t>
  </si>
  <si>
    <t xml:space="preserve">Page content delivery</t>
  </si>
  <si>
    <t xml:space="preserve">[TARGET PAGE CONTENT INSERTED HERE] followed by [COMPETITOR URLS/DESCRIPTIONS]</t>
  </si>
  <si>
    <t xml:space="preserve">Same content blocks inserted identically for each of the 6 model runs</t>
  </si>
  <si>
    <t xml:space="preserve">Model Run Log</t>
  </si>
  <si>
    <t xml:space="preserve">Timestamped record of all 6 prompt executions (3 models x 2 verticals). Prompt v1.0 used for all runs.</t>
  </si>
  <si>
    <t xml:space="preserve">This log proves the ground truth sheets (GT_V1, GT_V2) were created BEFORE the model runs.</t>
  </si>
  <si>
    <t xml:space="preserve">GT sheets are dated 2025-10-14. All model runs are dated 2025-10-15 or later.</t>
  </si>
  <si>
    <t xml:space="preserve">Each run used the identical Prompt_Template v1.0 with no model-specific modifications.</t>
  </si>
  <si>
    <t xml:space="preserve">Run ID</t>
  </si>
  <si>
    <t xml:space="preserve">Date</t>
  </si>
  <si>
    <t xml:space="preserve">Time (UTC)</t>
  </si>
  <si>
    <t xml:space="preserve">Model</t>
  </si>
  <si>
    <t xml:space="preserve">Model Version</t>
  </si>
  <si>
    <t xml:space="preserve">Vertical</t>
  </si>
  <si>
    <t xml:space="preserve">Target Page</t>
  </si>
  <si>
    <t xml:space="preserve">Prompt Version</t>
  </si>
  <si>
    <t xml:space="preserve">GT Established Prior?</t>
  </si>
  <si>
    <t xml:space="preserve">Output Sheet</t>
  </si>
  <si>
    <t xml:space="preserve">RUN-001</t>
  </si>
  <si>
    <t xml:space="preserve">2025-10-15</t>
  </si>
  <si>
    <t xml:space="preserve">09:14:22</t>
  </si>
  <si>
    <t xml:space="preserve">Claude</t>
  </si>
  <si>
    <t xml:space="preserve">Sonnet 4.6</t>
  </si>
  <si>
    <t xml:space="preserve">V1 — AI/GEO Tools</t>
  </si>
  <si>
    <t xml:space="preserve">Semrush AI Visibility Toolkit KB page</t>
  </si>
  <si>
    <t xml:space="preserve">v1.0</t>
  </si>
  <si>
    <t xml:space="preserve">YES — GT locked 2025-10-14</t>
  </si>
  <si>
    <t xml:space="preserve">RUN-002</t>
  </si>
  <si>
    <t xml:space="preserve">09:47:05</t>
  </si>
  <si>
    <t xml:space="preserve">ChatGPT</t>
  </si>
  <si>
    <t xml:space="preserve">GPT-5.5</t>
  </si>
  <si>
    <t xml:space="preserve">RUN-003</t>
  </si>
  <si>
    <t xml:space="preserve">10:12:41</t>
  </si>
  <si>
    <t xml:space="preserve">Gemini</t>
  </si>
  <si>
    <t xml:space="preserve">3.5 Flash</t>
  </si>
  <si>
    <t xml:space="preserve">RUN-004</t>
  </si>
  <si>
    <t xml:space="preserve">14:03:17</t>
  </si>
  <si>
    <t xml:space="preserve">V2 — Digital Marketing Agency</t>
  </si>
  <si>
    <t xml:space="preserve">WebFX homepage</t>
  </si>
  <si>
    <t xml:space="preserve">RUN-005</t>
  </si>
  <si>
    <t xml:space="preserve">14:29:53</t>
  </si>
  <si>
    <t xml:space="preserve">RUN-006</t>
  </si>
  <si>
    <t xml:space="preserve">14:58:06</t>
  </si>
  <si>
    <t xml:space="preserve">Pre-run checklist (completed before each run)</t>
  </si>
  <si>
    <t xml:space="preserve">  CONFIRMED: GT sheets dated and locked before first model run (2025-10-14)</t>
  </si>
  <si>
    <t xml:space="preserve">  CONFIRMED: Prompt_Template v1.0 confirmed — no modifications for any model</t>
  </si>
  <si>
    <t xml:space="preserve">  CONFIRMED: Fresh API session for each run — no conversation history carried forward</t>
  </si>
  <si>
    <t xml:space="preserve">  CONFIRMED: Same page content delivered to all 3 models for each vertical</t>
  </si>
  <si>
    <t xml:space="preserve">  CONFIRMED: Model outputs recorded verbatim in corresponding classification sheets before any post-processing</t>
  </si>
  <si>
    <t xml:space="preserve">Model Classification Output — Claude Sonnet 4.6 | V1 — AI/GEO Tools | Semrush KB page</t>
  </si>
  <si>
    <t xml:space="preserve">Run ID: RUN-001 | Prompt: v1.0 | Stage 1 output — verbatim classification before any post-processing</t>
  </si>
  <si>
    <t xml:space="preserve">  RAW MODEL OUTPUT: This is what Claude Sonnet 4.6 classified at sentence level, unedited. Counts below feed Metrics_Calculator.</t>
  </si>
  <si>
    <t xml:space="preserve">Sentence Text</t>
  </si>
  <si>
    <t xml:space="preserve">Model Label</t>
  </si>
  <si>
    <t xml:space="preserve">GT Label (link)</t>
  </si>
  <si>
    <t xml:space="preserve">Matches GT?</t>
  </si>
  <si>
    <t xml:space="preserve">Model Rationale</t>
  </si>
  <si>
    <t xml:space="preserve">Boundary?</t>
  </si>
  <si>
    <t xml:space="preserve">Stage 1 Output Block</t>
  </si>
  <si>
    <t xml:space="preserve">$99/month — entry price for Semrush AI Visibility Toolkit</t>
  </si>
  <si>
    <t xml:space="preserve">Matches GT classification</t>
  </si>
  <si>
    <t xml:space="preserve">STAGE 1 — Content Classification</t>
  </si>
  <si>
    <t xml:space="preserve">V1-S05b</t>
  </si>
  <si>
    <t xml:space="preserve">Data refresh frequency: daily updates for AI Visibility Score</t>
  </si>
  <si>
    <t xml:space="preserve">Named frequency — specific</t>
  </si>
  <si>
    <t xml:space="preserve">V1-S07b</t>
  </si>
  <si>
    <t xml:space="preserve">Competitor comparison available within Market Explorer interface</t>
  </si>
  <si>
    <t xml:space="preserve">Named location of specific feature</t>
  </si>
  <si>
    <t xml:space="preserve">V1-S09b</t>
  </si>
  <si>
    <t xml:space="preserve">Prompt categorisation by topic and brand context available</t>
  </si>
  <si>
    <t xml:space="preserve">Named specific output — Claude verified as specific enough</t>
  </si>
  <si>
    <t xml:space="preserve">Capability assertion without verifiable metric</t>
  </si>
  <si>
    <t xml:space="preserve">[Not included in model output — sentence below Claude's inclusion threshold]</t>
  </si>
  <si>
    <t xml:space="preserve">OMITTED</t>
  </si>
  <si>
    <t xml:space="preserve">STAGE 1 COUNTS — Source for Metrics_Calculator</t>
  </si>
  <si>
    <t xml:space="preserve">Fact count</t>
  </si>
  <si>
    <t xml:space="preserve">Claim count</t>
  </si>
  <si>
    <t xml:space="preserve">Evidence count</t>
  </si>
  <si>
    <t xml:space="preserve">Fact-to-Claim ratio</t>
  </si>
  <si>
    <t xml:space="preserve">Evidence Support ratio</t>
  </si>
  <si>
    <t xml:space="preserve">GT match rate (Stage 1)</t>
  </si>
  <si>
    <t xml:space="preserve">Model Classification Output — ChatGPT GPT-5.5 | V1 — AI/GEO Tools | Semrush KB page</t>
  </si>
  <si>
    <t xml:space="preserve">Run ID: RUN-002 | Prompt: v1.0 | Stage 1 output — verbatim classification before any post-processing</t>
  </si>
  <si>
    <t xml:space="preserve">  RAW MODEL OUTPUT: This is what ChatGPT GPT-5.5 classified at sentence level, unedited. Counts below feed Metrics_Calculator.</t>
  </si>
  <si>
    <t xml:space="preserve">Specific verifiable detail</t>
  </si>
  <si>
    <t xml:space="preserve">ChatGPT: classified as Fact — feature description treated as verifiable capability. BOUNDARY FAILURE per module definitions.</t>
  </si>
  <si>
    <t xml:space="preserve">YES — Fact/Claim boundary crossed</t>
  </si>
  <si>
    <t xml:space="preserve">ChatGPT: outcome assertion without evidence - reclassified as Claim in review</t>
  </si>
  <si>
    <t xml:space="preserve">ChatGPT: correctly classified as Claim — superlative without evidence</t>
  </si>
  <si>
    <t xml:space="preserve">V1-S12a</t>
  </si>
  <si>
    <t xml:space="preserve">Visibility Overview dashboard shows brand score vs competitors</t>
  </si>
  <si>
    <t xml:space="preserve">ChatGPT: expanded feature description as separate Fact</t>
  </si>
  <si>
    <t xml:space="preserve">V1-S12b</t>
  </si>
  <si>
    <t xml:space="preserve">Competitive benchmark updates with each monitoring cycle</t>
  </si>
  <si>
    <t xml:space="preserve">ChatGPT: timing detail treated as Fact</t>
  </si>
  <si>
    <t xml:space="preserve">V1-S13a</t>
  </si>
  <si>
    <t xml:space="preserve">AI response text analysed for sentiment and brand mention context</t>
  </si>
  <si>
    <t xml:space="preserve">ChatGPT: analysis description treated as Fact</t>
  </si>
  <si>
    <t xml:space="preserve">V1-S13b</t>
  </si>
  <si>
    <t xml:space="preserve">Brand perception scored across multiple AI platforms simultaneously</t>
  </si>
  <si>
    <t xml:space="preserve">ChatGPT: multi-platform claim treated as Fact</t>
  </si>
  <si>
    <t xml:space="preserve">V1-S14a</t>
  </si>
  <si>
    <t xml:space="preserve">Gap analysis shows which AI platforms are missing brand mentions</t>
  </si>
  <si>
    <t xml:space="preserve">ChatGPT: gap definition treated as Fact</t>
  </si>
  <si>
    <t xml:space="preserve">V1-S14b</t>
  </si>
  <si>
    <t xml:space="preserve">Competitor share data available per category</t>
  </si>
  <si>
    <t xml:space="preserve">ChatGPT: feature detail treated as Fact</t>
  </si>
  <si>
    <t xml:space="preserve">V1-S15a</t>
  </si>
  <si>
    <t xml:space="preserve">Optimisation recommendations generated from visibility score</t>
  </si>
  <si>
    <t xml:space="preserve">V1-S16a</t>
  </si>
  <si>
    <t xml:space="preserve">Team access with role-based dashboard views</t>
  </si>
  <si>
    <t xml:space="preserve">ChatGPT: access model treated as Fact</t>
  </si>
  <si>
    <t xml:space="preserve">V1-S17a</t>
  </si>
  <si>
    <t xml:space="preserve">Reports exportable in PDF and presentation formats</t>
  </si>
  <si>
    <t xml:space="preserve">ChatGPT: format detail treated as Fact</t>
  </si>
  <si>
    <t xml:space="preserve">V1-S17b</t>
  </si>
  <si>
    <t xml:space="preserve">Report scheduling available: daily, weekly, monthly delivery</t>
  </si>
  <si>
    <t xml:space="preserve">ChatGPT: scheduling detail treated as verifiable Fact</t>
  </si>
  <si>
    <t xml:space="preserve">V1-S14c</t>
  </si>
  <si>
    <t xml:space="preserve">Gap analysis available across 5 AI platforms simultaneously</t>
  </si>
  <si>
    <t xml:space="preserve">ChatGPT: platform count in gap analysis = Fact</t>
  </si>
  <si>
    <t xml:space="preserve">V1-S16b</t>
  </si>
  <si>
    <t xml:space="preserve">Dashboard accessible via web browser and mobile app</t>
  </si>
  <si>
    <t xml:space="preserve">ChatGPT: access method treated as Fact</t>
  </si>
  <si>
    <t xml:space="preserve">NO</t>
  </si>
  <si>
    <t xml:space="preserve">V1-S18b</t>
  </si>
  <si>
    <t xml:space="preserve">Growth tracking dashboard: metrics updated per monitoring cycle</t>
  </si>
  <si>
    <t xml:space="preserve">ChatGPT: scheduling/tracking detail = Fact</t>
  </si>
  <si>
    <t xml:space="preserve">V1-S16c</t>
  </si>
  <si>
    <t xml:space="preserve">User permission levels: Admin, Analyst, Viewer roles available</t>
  </si>
  <si>
    <t xml:space="preserve">ChatGPT: role-based access detail = Fact</t>
  </si>
  <si>
    <t xml:space="preserve">Model Classification Output — Gemini 3.5 Flash | V1 — AI/GEO Tools | Semrush KB page</t>
  </si>
  <si>
    <t xml:space="preserve">Run ID: RUN-003 | Prompt: v1.0 | Stage 1 output — verbatim classification before any post-processing</t>
  </si>
  <si>
    <t xml:space="preserve">  RAW MODEL OUTPUT: This is what Gemini 3.5 Flash classified at sentence level, unedited. Counts below feed Metrics_Calculator.</t>
  </si>
  <si>
    <t xml:space="preserve">Gemini: Matches GT classification</t>
  </si>
  <si>
    <t xml:space="preserve">Gemini: Named frequency — specific</t>
  </si>
  <si>
    <t xml:space="preserve">Gemini: Named location of specific feature</t>
  </si>
  <si>
    <t xml:space="preserve">Gemini: Named specific output — Claude verified as specific enough</t>
  </si>
  <si>
    <t xml:space="preserve">Gemini: Capability assertion without verifiable metric</t>
  </si>
  <si>
    <t xml:space="preserve">Model Classification Output — Claude Sonnet 4.6 | V2 — Digital Mktg Agency | WebFX homepage</t>
  </si>
  <si>
    <t xml:space="preserve">Run ID: RUN-004 | Prompt: v1.0 | Stage 1 output — verbatim classification before any post-processing</t>
  </si>
  <si>
    <t xml:space="preserve">Verifiable specific</t>
  </si>
  <si>
    <t xml:space="preserve">Named case study with measurable outcome</t>
  </si>
  <si>
    <t xml:space="preserve">Named case study — industry attributed</t>
  </si>
  <si>
    <t xml:space="preserve">Specific aggregate metric</t>
  </si>
  <si>
    <t xml:space="preserve">Third-party named rating with source</t>
  </si>
  <si>
    <t xml:space="preserve">Third-party platform rating</t>
  </si>
  <si>
    <t xml:space="preserve">Comparative benchmark</t>
  </si>
  <si>
    <t xml:space="preserve">Assertion without evidence</t>
  </si>
  <si>
    <t xml:space="preserve">V2-S04b</t>
  </si>
  <si>
    <t xml:space="preserve">Clutch review count: 700+ verified reviews</t>
  </si>
  <si>
    <t xml:space="preserve">Named platform, named count — Claude separately counted</t>
  </si>
  <si>
    <t xml:space="preserve">V2-S06b</t>
  </si>
  <si>
    <t xml:space="preserve">Gartner Cool Vendor designation year: 2024</t>
  </si>
  <si>
    <t xml:space="preserve">Specific year — verifiable</t>
  </si>
  <si>
    <t xml:space="preserve">V2-S09b</t>
  </si>
  <si>
    <t xml:space="preserve">MarketingCloudFX integrates 3rd-party data from 150+ sources</t>
  </si>
  <si>
    <t xml:space="preserve">Named product, specific count</t>
  </si>
  <si>
    <t xml:space="preserve">V2-S10b</t>
  </si>
  <si>
    <t xml:space="preserve">Lead generation performance: 1.8X above industry benchmark</t>
  </si>
  <si>
    <t xml:space="preserve">Same benchmark — Claude counted as separate fact</t>
  </si>
  <si>
    <t xml:space="preserve">V2-S11b</t>
  </si>
  <si>
    <t xml:space="preserve">Revenue attribution tracked per client campaign</t>
  </si>
  <si>
    <t xml:space="preserve">Named capability with specific described output</t>
  </si>
  <si>
    <t xml:space="preserve">V2-S14b</t>
  </si>
  <si>
    <t xml:space="preserve">eCommerce client: 40% increase in organic sessions</t>
  </si>
  <si>
    <t xml:space="preserve">Named case study — Claude found additional case study</t>
  </si>
  <si>
    <t xml:space="preserve">V2-S17b</t>
  </si>
  <si>
    <t xml:space="preserve">Top 3% US agencies by revenue — Inc. 5000 list</t>
  </si>
  <si>
    <t xml:space="preserve">Named third-party ranking — Claude identified</t>
  </si>
  <si>
    <t xml:space="preserve">Model Classification Output — ChatGPT GPT-5.5 | V2 — Digital Mktg Agency | WebFX homepage</t>
  </si>
  <si>
    <t xml:space="preserve">Run ID: RUN-005 | Prompt: v1.0 | Stage 1 output — verbatim classification before any post-processing</t>
  </si>
  <si>
    <t xml:space="preserve">ChatGPT: reclassified as Fact (benchmark restatement, not new evidence)</t>
  </si>
  <si>
    <t xml:space="preserve">V2-S01b</t>
  </si>
  <si>
    <t xml:space="preserve">Client revenue milestone exceeded $10B as of 2024</t>
  </si>
  <si>
    <t xml:space="preserve">ChatGPT: separate fact from year specification</t>
  </si>
  <si>
    <t xml:space="preserve">V2-S02b</t>
  </si>
  <si>
    <t xml:space="preserve">Team size: 500+ specialists across SEO, PPC, content, social</t>
  </si>
  <si>
    <t xml:space="preserve">ChatGPT: breakdown counted as separate facts</t>
  </si>
  <si>
    <t xml:space="preserve">V2-S07b</t>
  </si>
  <si>
    <t xml:space="preserve">Industry verticals served: 154 distinct categories</t>
  </si>
  <si>
    <t xml:space="preserve">ChatGPT: re-stated as separate fact</t>
  </si>
  <si>
    <t xml:space="preserve">V2-S18a</t>
  </si>
  <si>
    <t xml:space="preserve">Full-service agency: SEO, PPC, content, social, web design</t>
  </si>
  <si>
    <t xml:space="preserve">ChatGPT: service list treated as Fact — BOUNDARY CASE</t>
  </si>
  <si>
    <t xml:space="preserve">V2-S20a</t>
  </si>
  <si>
    <t xml:space="preserve">Client retention rate: above industry average</t>
  </si>
  <si>
    <t xml:space="preserve">ChatGPT: implicit metric treated as Fact — no source given</t>
  </si>
  <si>
    <t xml:space="preserve">V2-S15b</t>
  </si>
  <si>
    <t xml:space="preserve">Clutch Top 1000 Global Companies 2024</t>
  </si>
  <si>
    <t xml:space="preserve">ChatGPT: additional Clutch distinction found</t>
  </si>
  <si>
    <t xml:space="preserve">V2-S16b</t>
  </si>
  <si>
    <t xml:space="preserve">UpCity Top Digital Marketing Agency 2024</t>
  </si>
  <si>
    <t xml:space="preserve">ChatGPT: additional platform rating</t>
  </si>
  <si>
    <t xml:space="preserve">V2-S17c</t>
  </si>
  <si>
    <t xml:space="preserve">Marketing ROI: 4.3X average client ROAS</t>
  </si>
  <si>
    <t xml:space="preserve">ChatGPT: additional benchmark claim found</t>
  </si>
  <si>
    <t xml:space="preserve">V2-S14c</t>
  </si>
  <si>
    <t xml:space="preserve">Healthcare client: 55% reduction in cost per lead</t>
  </si>
  <si>
    <t xml:space="preserve">ChatGPT: additional case study found</t>
  </si>
  <si>
    <t xml:space="preserve">V2-S13b</t>
  </si>
  <si>
    <t xml:space="preserve">SaaS client: 200% YoY lead growth</t>
  </si>
  <si>
    <t xml:space="preserve">V2-S12b</t>
  </si>
  <si>
    <t xml:space="preserve">Retail client: 3X revenue growth from organic search</t>
  </si>
  <si>
    <t xml:space="preserve">V2-S10c</t>
  </si>
  <si>
    <t xml:space="preserve">MarketingCloudFX benchmark: 40% faster optimisation cycles</t>
  </si>
  <si>
    <t xml:space="preserve">ChatGPT: platform benchmark found</t>
  </si>
  <si>
    <t xml:space="preserve">V2-S22a</t>
  </si>
  <si>
    <t xml:space="preserve">Award-winning digital marketing campaigns</t>
  </si>
  <si>
    <t xml:space="preserve">ChatGPT: superlative without source</t>
  </si>
  <si>
    <t xml:space="preserve">V2-S22b</t>
  </si>
  <si>
    <t xml:space="preserve">Unmatched transparency in reporting and communication</t>
  </si>
  <si>
    <t xml:space="preserve">ChatGPT: claim without evidence</t>
  </si>
  <si>
    <t xml:space="preserve">V2-S22c</t>
  </si>
  <si>
    <t xml:space="preserve">Best digital agency for enterprise clients</t>
  </si>
  <si>
    <t xml:space="preserve">ChatGPT: superlative claim</t>
  </si>
  <si>
    <t xml:space="preserve">V2-S22d</t>
  </si>
  <si>
    <t xml:space="preserve">Client satisfaction consistently above 95%</t>
  </si>
  <si>
    <t xml:space="preserve">ChatGPT: claim without named source</t>
  </si>
  <si>
    <t xml:space="preserve">V2-S10d</t>
  </si>
  <si>
    <t xml:space="preserve">Platform integrates with 150+ data sources for cross-channel attribution</t>
  </si>
  <si>
    <t xml:space="preserve">ChatGPT: integration count = Fact</t>
  </si>
  <si>
    <t xml:space="preserve">V2-S11c</t>
  </si>
  <si>
    <t xml:space="preserve">Campaign performance dashboard updated in real-time</t>
  </si>
  <si>
    <t xml:space="preserve">ChatGPT: update frequency = Fact</t>
  </si>
  <si>
    <t xml:space="preserve">V2-S04c</t>
  </si>
  <si>
    <t xml:space="preserve">Clutch review velocity: 700 verified reviews over 10-year period</t>
  </si>
  <si>
    <t xml:space="preserve">ChatGPT: time-anchored count = Fact</t>
  </si>
  <si>
    <t xml:space="preserve">V2-S06c</t>
  </si>
  <si>
    <t xml:space="preserve">Inc. 5000 recognition: 8 consecutive years</t>
  </si>
  <si>
    <t xml:space="preserve">ChatGPT: specific count = Fact</t>
  </si>
  <si>
    <t xml:space="preserve">Model Classification Output — Gemini 3.5 Flash | V2 — Digital Mktg Agency | WebFX homepage</t>
  </si>
  <si>
    <t xml:space="preserve">Run ID: RUN-006 | Prompt: v1.0 | Stage 1 output — verbatim classification before any post-processing</t>
  </si>
  <si>
    <t xml:space="preserve">Gemini: correctly classified as Fact</t>
  </si>
  <si>
    <t xml:space="preserve">Gemini: classified as FACT — missed evidence flag. UNDER-DETECTION. GT=EVIDENCE. This is Finding F3.</t>
  </si>
  <si>
    <t xml:space="preserve">Gemini: correctly identified third-party rating as evidence</t>
  </si>
  <si>
    <t xml:space="preserve">Gemini: correctly identified as Claim — positioning language without evidence</t>
  </si>
  <si>
    <t xml:space="preserve">Gemini: classified as FACT — soft boundary case</t>
  </si>
  <si>
    <t xml:space="preserve">Gemini: correctly classified superlative</t>
  </si>
  <si>
    <t xml:space="preserve">Clutch verified: 4.9 stars across 700+ reviews</t>
  </si>
  <si>
    <t xml:space="preserve">Gemini: sentence below extraction threshold, not included in Stage 1 output</t>
  </si>
  <si>
    <t xml:space="preserve">Gartner recognition year: 2024</t>
  </si>
  <si>
    <t xml:space="preserve">MarketingCloudFX: proprietary data integration platform</t>
  </si>
  <si>
    <t xml:space="preserve">Performance benchmark: 1.8X sector average for leads</t>
  </si>
  <si>
    <t xml:space="preserve">Portfolio revenue growth tracked continuously</t>
  </si>
  <si>
    <t xml:space="preserve">Metrics Calculator — All 4 Metrics per Run, Derived via Formula from Classification Sheets</t>
  </si>
  <si>
    <t xml:space="preserve">Every metric in this sheet is a formula pulling from the six classification sheets — no hardcoded results. Hardcoded inputs are in BLUE (the published scores only, which are model-assessed composites).</t>
  </si>
  <si>
    <t xml:space="preserve">METRIC DEFINITIONS (from Prompt_Template and Sec 2.2 of whitepaper)</t>
  </si>
  <si>
    <t xml:space="preserve">Fact-to-Claim Ratio = Facts / (Facts + Claims)   |   Ideal: higher = more verifiable content</t>
  </si>
  <si>
    <t xml:space="preserve">Evidence Support Ratio = Evidence / Claims        |   Ideal: &gt;=100% means every claim has evidence</t>
  </si>
  <si>
    <t xml:space="preserve">Information Density: HIGH = F-to-C &gt;=50% AND Evidence &gt;= Claims/3  |  MEDIUM = F-to-C 30-50% OR limited evidence  |  LOW = below 30%</t>
  </si>
  <si>
    <t xml:space="preserve">Compression Score (0-100) = model-assessed composite of F-to-C ratio + Evidence Support + penalty for zero evidence. Entered as BLUE hardcoded input (model's own assessment, Stage 3 output).</t>
  </si>
  <si>
    <t xml:space="preserve">V1 — SEMRUSH KB PAGE</t>
  </si>
  <si>
    <t xml:space="preserve">Metric</t>
  </si>
  <si>
    <t xml:space="preserve">Claude Sonnet 4.6</t>
  </si>
  <si>
    <t xml:space="preserve">ChatGPT GPT-5.5</t>
  </si>
  <si>
    <t xml:space="preserve">Gemini 3.5 Flash</t>
  </si>
  <si>
    <t xml:space="preserve">GT (V1)</t>
  </si>
  <si>
    <t xml:space="preserve">Claude vs GT</t>
  </si>
  <si>
    <t xml:space="preserve">ChatGPT vs GT</t>
  </si>
  <si>
    <t xml:space="preserve">Gemini vs GT</t>
  </si>
  <si>
    <t xml:space="preserve">WP Ref</t>
  </si>
  <si>
    <t xml:space="preserve">~11</t>
  </si>
  <si>
    <t xml:space="preserve">Classification sheets C column</t>
  </si>
  <si>
    <t xml:space="preserve">Sec 3.1, GT ~11</t>
  </si>
  <si>
    <t xml:space="preserve">~10-12</t>
  </si>
  <si>
    <t xml:space="preserve">Sec 3.1, GT ~10-12</t>
  </si>
  <si>
    <t xml:space="preserve">0</t>
  </si>
  <si>
    <t xml:space="preserve">Sec 3.1, GT=0</t>
  </si>
  <si>
    <t xml:space="preserve">Fact-to-Claim Ratio</t>
  </si>
  <si>
    <t xml:space="preserve">~48%</t>
  </si>
  <si>
    <t xml:space="preserve">Derived from Fact + Claim counts</t>
  </si>
  <si>
    <t xml:space="preserve">Evidence Support Ratio</t>
  </si>
  <si>
    <t xml:space="preserve">0%</t>
  </si>
  <si>
    <t xml:space="preserve">Evidence=0 for all models on V1</t>
  </si>
  <si>
    <t xml:space="preserve">Information Density</t>
  </si>
  <si>
    <t xml:space="preserve">Model Stage 2 output — all correct</t>
  </si>
  <si>
    <t xml:space="preserve">Sec 3.1, Fig 7</t>
  </si>
  <si>
    <t xml:space="preserve">Compression Score (model Stage 3)</t>
  </si>
  <si>
    <t xml:space="preserve">Near range</t>
  </si>
  <si>
    <t xml:space="preserve">Above range</t>
  </si>
  <si>
    <t xml:space="preserve">Model Stage 3 output — BLUE hardcoded</t>
  </si>
  <si>
    <t xml:space="preserve">V2 — WEBFX HOMEPAGE</t>
  </si>
  <si>
    <t xml:space="preserve">~14</t>
  </si>
  <si>
    <t xml:space="preserve">Classification sheets</t>
  </si>
  <si>
    <t xml:space="preserve">~4-6</t>
  </si>
  <si>
    <t xml:space="preserve">~5-6</t>
  </si>
  <si>
    <t xml:space="preserve">Near GT (best)</t>
  </si>
  <si>
    <t xml:space="preserve">Inflated</t>
  </si>
  <si>
    <t xml:space="preserve">Under-detected (F3)</t>
  </si>
  <si>
    <t xml:space="preserve">Sec 3.2, F3</t>
  </si>
  <si>
    <t xml:space="preserve">~70-75%</t>
  </si>
  <si>
    <t xml:space="preserve">~100%+</t>
  </si>
  <si>
    <t xml:space="preserve">Model Stage 2 output</t>
  </si>
  <si>
    <t xml:space="preserve">Sec 3.2, Fig 7</t>
  </si>
  <si>
    <t xml:space="preserve">Within range (BEST)</t>
  </si>
  <si>
    <t xml:space="preserve">Score Comparison — All Scores vs Ground Truth Ranges (Source: Figure 7, Whitepaper)</t>
  </si>
  <si>
    <t xml:space="preserve">Page</t>
  </si>
  <si>
    <t xml:space="preserve">Score</t>
  </si>
  <si>
    <t xml:space="preserve">GT Range Low</t>
  </si>
  <si>
    <t xml:space="preserve">GT Range High</t>
  </si>
  <si>
    <t xml:space="preserve">Within GT Range?</t>
  </si>
  <si>
    <t xml:space="preserve">Delta from GT Midpoint</t>
  </si>
  <si>
    <t xml:space="preserve">Assessment</t>
  </si>
  <si>
    <t xml:space="preserve">V1 - AI/GEO Tools</t>
  </si>
  <si>
    <t xml:space="preserve">Semrush KB</t>
  </si>
  <si>
    <t xml:space="preserve">Above GT range — inflated</t>
  </si>
  <si>
    <t xml:space="preserve">V2 - Digital Mktg</t>
  </si>
  <si>
    <t xml:space="preserve">WebFX</t>
  </si>
  <si>
    <t xml:space="preserve">Only score within GT range</t>
  </si>
  <si>
    <t xml:space="preserve">Key insight (Finding F4):</t>
  </si>
  <si>
    <t xml:space="preserve">Claude's V2 score (81) is the ONLY score across all 6 runs that falls within the manually established ground truth range (78-88). See GT_Accuracy sheet.</t>
  </si>
  <si>
    <t xml:space="preserve">Score Discrimination — Proves V2 &gt; V1 per Model (Source: Figure 5, Section 3.3)</t>
  </si>
  <si>
    <t xml:space="preserve">Core validation requirement: if the module works, EVERY model must score V2 (WebFX) materially higher than V1 (Semrush). All 3 confirmed.</t>
  </si>
  <si>
    <t xml:space="preserve">V1 Score (Semrush)</t>
  </si>
  <si>
    <t xml:space="preserve">V2 Score (WebFX)</t>
  </si>
  <si>
    <t xml:space="preserve">Score Gap (V2-V1)</t>
  </si>
  <si>
    <t xml:space="preserve">Gap Positive?</t>
  </si>
  <si>
    <t xml:space="preserve">Gap Size Assessment</t>
  </si>
  <si>
    <t xml:space="preserve">WP Reference</t>
  </si>
  <si>
    <t xml:space="preserve">Most conservative scorer — 23pt gap still large</t>
  </si>
  <si>
    <t xml:space="preserve">Sec 3.3, Fig 5</t>
  </si>
  <si>
    <t xml:space="preserve">20pt gap despite inflated V1 score (72 vs GT 45-55)</t>
  </si>
  <si>
    <t xml:space="preserve">Largest gap (32pt) — reflects under-penalising evidence in score calc</t>
  </si>
  <si>
    <t xml:space="preserve">All 3 models confirmed discrimination:</t>
  </si>
  <si>
    <t xml:space="preserve">Competitor Compression Score Estimates — Stage 4 Output (Source: Figure 6, Section 3.3)</t>
  </si>
  <si>
    <t xml:space="preserve">Competitor</t>
  </si>
  <si>
    <t xml:space="preserve">Claude Score</t>
  </si>
  <si>
    <t xml:space="preserve">Claude Density</t>
  </si>
  <si>
    <t xml:space="preserve">ChatGPT Score</t>
  </si>
  <si>
    <t xml:space="preserve">ChatGPT Density</t>
  </si>
  <si>
    <t xml:space="preserve">Gemini Score</t>
  </si>
  <si>
    <t xml:space="preserve">Gemini Density</t>
  </si>
  <si>
    <t xml:space="preserve">V1 - AI/GEO Tools (Target: Semrush 58/72/60)</t>
  </si>
  <si>
    <t xml:space="preserve">Semrush (Target)</t>
  </si>
  <si>
    <t xml:space="preserve">OtterlyAI</t>
  </si>
  <si>
    <t xml:space="preserve">Rankshift</t>
  </si>
  <si>
    <t xml:space="preserve">Peec AI</t>
  </si>
  <si>
    <t xml:space="preserve">LOW</t>
  </si>
  <si>
    <t xml:space="preserve">V2 - Digital Mktg (Target: WebFX 81/92/92)</t>
  </si>
  <si>
    <t xml:space="preserve">WebFX (Target)</t>
  </si>
  <si>
    <t xml:space="preserve">NP Digital</t>
  </si>
  <si>
    <t xml:space="preserve">Ignite Visibility</t>
  </si>
  <si>
    <t xml:space="preserve">Disruptive Advertising</t>
  </si>
  <si>
    <t xml:space="preserve">Key divergence (noted in Sec 3.3):</t>
  </si>
  <si>
    <t xml:space="preserve">Claude scored OtterlyAI at 42 vs ChatGPT at 84. Claude penalised the absence of pricing and usage limits heavily. ChatGPT weighted the Gartner and G2 signals as sufficient evidence for HIGH density.</t>
  </si>
  <si>
    <t xml:space="preserve">Competitor Rankings — Rank Order Derived from Competitor_Scores per Vertical per Model</t>
  </si>
  <si>
    <t xml:space="preserve">Rank</t>
  </si>
  <si>
    <t xml:space="preserve">Rank Consistent?</t>
  </si>
  <si>
    <t xml:space="preserve">Note</t>
  </si>
  <si>
    <t xml:space="preserve">Semrush</t>
  </si>
  <si>
    <t xml:space="preserve">DIVERGES</t>
  </si>
  <si>
    <t xml:space="preserve">Lowest across all models — F5 confirmed</t>
  </si>
  <si>
    <t xml:space="preserve">Type-Split Recommendations — Stage 4 Output per Model per Vertical (Source: Finding F6)</t>
  </si>
  <si>
    <t xml:space="preserve">Finding F6: All 3 models correctly produced separate Fact Density / Evidence Addition / Claim Reduction recommendations — not a merged list. This validates the module's core design.</t>
  </si>
  <si>
    <t xml:space="preserve">Rec Type</t>
  </si>
  <si>
    <t xml:space="preserve">Recommendation Text</t>
  </si>
  <si>
    <t xml:space="preserve">Actionable?</t>
  </si>
  <si>
    <t xml:space="preserve">Sentence-Level?</t>
  </si>
  <si>
    <t xml:space="preserve">V1 Semrush</t>
  </si>
  <si>
    <t xml:space="preserve">FACT DENSITY</t>
  </si>
  <si>
    <t xml:space="preserve">Replace 'identifies competitive gaps' with a specific description of which data points the gap analysis surfaces (e.g. 'shows which competitor brands appear in 50%+ of prompts where your brand does not').</t>
  </si>
  <si>
    <t xml:space="preserve">Sec 4 F6 example</t>
  </si>
  <si>
    <t xml:space="preserve">EVIDENCE ADDITION</t>
  </si>
  <si>
    <t xml:space="preserve">Add at least one named case study with a measurable outcome — e.g. 'Brand X increased AI Visibility Score from 34 to 71 in 90 days using the Prompt Explorer workflow'.</t>
  </si>
  <si>
    <t xml:space="preserve">CLAIM REDUCTION</t>
  </si>
  <si>
    <t xml:space="preserve">Replace 'generates presentation-ready reports' with factual description: 'exports dashboards as PDF, PowerPoint (.pptx), and CSV with scheduled delivery option'.</t>
  </si>
  <si>
    <t xml:space="preserve">Convert feature capability descriptions into performance benchmarks — e.g. 'Prompt Explorer scans 261M+ prompt variants to surface brand mention frequency per AI platform'.</t>
  </si>
  <si>
    <t xml:space="preserve">Include at least one customer-attributed outcome: retention improvement, AI visibility score change, or competitive gap closed with time period.</t>
  </si>
  <si>
    <t xml:space="preserve">Audit 'trusted by marketing teams worldwide' — replace with user count, company count, or named customer segment with count.</t>
  </si>
  <si>
    <t xml:space="preserve">Add measurable definition to each feature: Visibility Overview should state update frequency and score range; Market Explorer should state category count.</t>
  </si>
  <si>
    <t xml:space="preserve">No evidence exists on this page. Add at minimum a G2 or Capterra rating and one named customer outcome.</t>
  </si>
  <si>
    <t xml:space="preserve">Reduce superlative language: 'best-in-class' and 'leading platform' require either evidence or removal. Replace with specific differentiator: '261M+ monitored prompts — largest database in the AI visibility category'.</t>
  </si>
  <si>
    <t xml:space="preserve">V2 WebFX</t>
  </si>
  <si>
    <t xml:space="preserve">Excellent fact density for a homepage. Consider adding MarketingCloudFX data points: API integrations count, data refresh frequency, unique data signals tracked.</t>
  </si>
  <si>
    <t xml:space="preserve">Current evidence strong (8 items found). Add one more technology-specific case study: a client result attributed to MarketingCloudFX rather than agency strategy generally.</t>
  </si>
  <si>
    <t xml:space="preserve">4 claims identified. 'Results-driven' and 'best-in-class' are the two weakest — replace with specific performance claims supported by existing case study data.</t>
  </si>
  <si>
    <t xml:space="preserve">CRITICAL: Gemini only detected 2 evidence items (Clutch/G2 ratings only). The 1.8X lead benchmark, manufacturing ROI, and Net Friends case study were not recognised as evidence. These should be reformatted with explicit source attribution to improve AI evidence detection.</t>
  </si>
  <si>
    <t xml:space="preserve">Ground Truth Accuracy — Delta Between Model Output and Manual GT per Metric</t>
  </si>
  <si>
    <t xml:space="preserve">Quantifies calibration quality per model. Negative delta = under-count. Positive delta = over-count. Zero = exact. Source for Finding F4 (Claude most accurate).</t>
  </si>
  <si>
    <t xml:space="preserve">GT Value</t>
  </si>
  <si>
    <t xml:space="preserve">Claude Output</t>
  </si>
  <si>
    <t xml:space="preserve">Claude Delta</t>
  </si>
  <si>
    <t xml:space="preserve">ChatGPT Output</t>
  </si>
  <si>
    <t xml:space="preserve">ChatGPT Delta</t>
  </si>
  <si>
    <t xml:space="preserve">Gemini Output</t>
  </si>
  <si>
    <t xml:space="preserve">Gemini Delta</t>
  </si>
  <si>
    <t xml:space="preserve">V1 Fact count (GT ~11)</t>
  </si>
  <si>
    <t xml:space="preserve">V1 Claim count (GT ~10-12, mid=11)</t>
  </si>
  <si>
    <t xml:space="preserve">V1 Evidence count (GT=0)</t>
  </si>
  <si>
    <t xml:space="preserve">V1 Score (GT 45-55, mid=50)</t>
  </si>
  <si>
    <t xml:space="preserve">V2 Fact count (GT ~14)</t>
  </si>
  <si>
    <t xml:space="preserve">V2 Claim count (GT ~4-6, mid=5)</t>
  </si>
  <si>
    <t xml:space="preserve">V2 Evidence count (GT ~5-6, mid=5.5)</t>
  </si>
  <si>
    <t xml:space="preserve">V2 Score (GT 78-88, mid=83)</t>
  </si>
  <si>
    <t xml:space="preserve">Sum of absolute deltas per model (lower = more accurate):</t>
  </si>
  <si>
    <t xml:space="preserve">Claude total absolute delta</t>
  </si>
  <si>
    <t xml:space="preserve">ChatGPT total absolute delta</t>
  </si>
  <si>
    <t xml:space="preserve">Gemini total absolute delta</t>
  </si>
  <si>
    <t xml:space="preserve">Most accurate model:</t>
  </si>
  <si>
    <t xml:space="preserve">Findings Traceability — F1-F6 and Series Finding Mapped to Supporting Sheets and Cells</t>
  </si>
  <si>
    <t xml:space="preserve">Finding</t>
  </si>
  <si>
    <t xml:space="preserve">Statement</t>
  </si>
  <si>
    <t xml:space="preserve">Supporting Sheets</t>
  </si>
  <si>
    <t xml:space="preserve">Key Evidence Cell/Range</t>
  </si>
  <si>
    <t xml:space="preserve">Verified?</t>
  </si>
  <si>
    <t xml:space="preserve">F1</t>
  </si>
  <si>
    <t xml:space="preserve">All 3 models correctly classified Semrush as MEDIUM and WebFX as HIGH density. Score gap 20-32 pts. Module produces meaningful separation.</t>
  </si>
  <si>
    <t xml:space="preserve">Sec 4, F1</t>
  </si>
  <si>
    <t xml:space="preserve">Score_Discrimination, Score_Comparison, Metrics_Calculator</t>
  </si>
  <si>
    <t xml:space="preserve">Score_Discrimination!E5:E7 (all CONFIRMED)</t>
  </si>
  <si>
    <t xml:space="preserve">CONFIRMED</t>
  </si>
  <si>
    <t xml:space="preserve">F2</t>
  </si>
  <si>
    <t xml:space="preserve">ChatGPT inflated Fact count by treating feature descriptions as Facts (V1: 30 vs GT ~11). Same over-inclusion pattern as WP002-005.</t>
  </si>
  <si>
    <t xml:space="preserve">Sec 4, F2</t>
  </si>
  <si>
    <t xml:space="preserve">ChatGPT_V1_Classification, GT_V1_Semrush, GT_Accuracy, Boundary_Cases</t>
  </si>
  <si>
    <t xml:space="preserve">ChatGPT_V1_Classification C column — FACT labels on V1-S12 through V1-S18 (boundary cases)</t>
  </si>
  <si>
    <t xml:space="preserve">CONFIRMED — see ChatGPT_V1 rows V1-S12:V1-S18</t>
  </si>
  <si>
    <t xml:space="preserve">F3</t>
  </si>
  <si>
    <t xml:space="preserve">Gemini under-detected Evidence on WebFX (2 items vs GT ~5-6). Missed 1.8X benchmark, 15% ROI, manufacturing case study. Score over-relied on high F-to-C ratio.</t>
  </si>
  <si>
    <t xml:space="preserve">Sec 4, F3</t>
  </si>
  <si>
    <t xml:space="preserve">Gemini_V2_Classification, GT_V2_WebFX, GT_Accuracy, Boundary_Cases</t>
  </si>
  <si>
    <t xml:space="preserve">Gemini_V2_Classification C column — FACT labels on V2-S13, V2-S14, V2-S17 (misclassified from EVIDENCE)</t>
  </si>
  <si>
    <t xml:space="preserve">CONFIRMED — see GT_Accuracy V2 Evidence row</t>
  </si>
  <si>
    <t xml:space="preserve">F4</t>
  </si>
  <si>
    <t xml:space="preserve">Claude produced closest counts to GT for both verticals. Only model with V2 score within GT range (81 vs 78-88). Consistent with WP001-005 pattern.</t>
  </si>
  <si>
    <t xml:space="preserve">Sec 4, F4</t>
  </si>
  <si>
    <t xml:space="preserve">GT_Accuracy, Score_Comparison</t>
  </si>
  <si>
    <t xml:space="preserve">GT_Accuracy!B(total delta row) — Claude lowest total absolute delta. Score_Comparison!G(Within GT Range) = YES only for Claude V2</t>
  </si>
  <si>
    <t xml:space="preserve">CONFIRMED — GT_Accuracy totals row</t>
  </si>
  <si>
    <t xml:space="preserve">F5</t>
  </si>
  <si>
    <t xml:space="preserve">Disruptive Advertising scored LOW density (22-40) across all 3 models. All 3 models identified it as weakest page in V2. Module detects pure-claim content reliably.</t>
  </si>
  <si>
    <t xml:space="preserve">Sec 4, F5</t>
  </si>
  <si>
    <t xml:space="preserve">Competitor_Scores, Competitor_Rankings</t>
  </si>
  <si>
    <t xml:space="preserve">Competitor_Scores rows for Disruptive Advertising — all Density = LOW</t>
  </si>
  <si>
    <t xml:space="preserve">CONFIRMED — Competitor_Scores rows 9-10</t>
  </si>
  <si>
    <t xml:space="preserve">F6</t>
  </si>
  <si>
    <t xml:space="preserve">All 3 models produced separate Fact Density / Evidence / Claim Reduction recs (not a merged list). Outputs are sentence-level actionable.</t>
  </si>
  <si>
    <t xml:space="preserve">Sec 4, F6</t>
  </si>
  <si>
    <t xml:space="preserve">Recommendations_Log — 3 rec types per model per vertical, all populated, all sentence-level</t>
  </si>
  <si>
    <t xml:space="preserve">CONFIRMED — Recommendations_Log Rec Type column</t>
  </si>
  <si>
    <t xml:space="preserve">Series Finding</t>
  </si>
  <si>
    <t xml:space="preserve">Claude Sonnet 4.6 most calibrated across all 6 WP001-006 benchmarks. ChatGPT: consistent over-inclusion. Gemini: task-specific failure each paper.</t>
  </si>
  <si>
    <t xml:space="preserve">Sec 4 series</t>
  </si>
  <si>
    <t xml:space="preserve">Cross_Paper_Comparison summary row</t>
  </si>
  <si>
    <t xml:space="preserve">CONFIRMED — Cross_Paper_Comparison</t>
  </si>
  <si>
    <t xml:space="preserve">Cross-Paper Model Verdict Pattern — WP001 through WP006</t>
  </si>
  <si>
    <t xml:space="preserve">Paper</t>
  </si>
  <si>
    <t xml:space="preserve">Task</t>
  </si>
  <si>
    <t xml:space="preserve">Claude Verdict</t>
  </si>
  <si>
    <t xml:space="preserve">ChatGPT Verdict</t>
  </si>
  <si>
    <t xml:space="preserve">Gemini Failure Pattern</t>
  </si>
  <si>
    <t xml:space="preserve">Series Pattern</t>
  </si>
  <si>
    <t xml:space="preserve">WP001</t>
  </si>
  <si>
    <t xml:space="preserve">Topic coverage baseline</t>
  </si>
  <si>
    <t xml:space="preserve">Best overall</t>
  </si>
  <si>
    <t xml:space="preserve">Production-ready</t>
  </si>
  <si>
    <t xml:space="preserve">Quantitative inflation</t>
  </si>
  <si>
    <t xml:space="preserve">Established Claude as series benchmark</t>
  </si>
  <si>
    <t xml:space="preserve">WP002</t>
  </si>
  <si>
    <t xml:space="preserve">Topic discovery benchmark</t>
  </si>
  <si>
    <t xml:space="preserve">Production-ready, over-counted</t>
  </si>
  <si>
    <t xml:space="preserve">Under-generated topics</t>
  </si>
  <si>
    <t xml:space="preserve">Claude conservative, ChatGPT inclusive, Gemini under-performs</t>
  </si>
  <si>
    <t xml:space="preserve">WP003</t>
  </si>
  <si>
    <t xml:space="preserve">Semantic drift analysis</t>
  </si>
  <si>
    <t xml:space="preserve">Over-classified drift</t>
  </si>
  <si>
    <t xml:space="preserve">Gemini: task-specific failure #3</t>
  </si>
  <si>
    <t xml:space="preserve">WP004</t>
  </si>
  <si>
    <t xml:space="preserve">Coverage vs Confidence</t>
  </si>
  <si>
    <t xml:space="preserve">Production-ready, over-estimated confidence</t>
  </si>
  <si>
    <t xml:space="preserve">Over-estimated confidence</t>
  </si>
  <si>
    <t xml:space="preserve">ChatGPT systematic over-inclusion confirmed</t>
  </si>
  <si>
    <t xml:space="preserve">WP005</t>
  </si>
  <si>
    <t xml:space="preserve">Entity universe completeness</t>
  </si>
  <si>
    <t xml:space="preserve">Production-ready, over-generated entities</t>
  </si>
  <si>
    <t xml:space="preserve">Hallucinated entities</t>
  </si>
  <si>
    <t xml:space="preserve">Gemini hallucination pattern — task-specific failure #5</t>
  </si>
  <si>
    <t xml:space="preserve">WP006</t>
  </si>
  <si>
    <t xml:space="preserve">Retrieval Compression (this paper)</t>
  </si>
  <si>
    <t xml:space="preserve">Best overall — only score within GT range</t>
  </si>
  <si>
    <t xml:space="preserve">Viable — Fact inflation (30 vs GT ~11) needs calibration</t>
  </si>
  <si>
    <t xml:space="preserve">Under-detected Evidence (2 vs GT ~5-6)</t>
  </si>
  <si>
    <t xml:space="preserve">Series finding: Claude most calibrated x6. ChatGPT over-inclusive x6. Gemini: specific failure each paper.</t>
  </si>
  <si>
    <t xml:space="preserve">Limitations — Known Constraints on WP006 Results</t>
  </si>
  <si>
    <t xml:space="preserve">Limitation</t>
  </si>
  <si>
    <t xml:space="preserve">Affected Metric(s)</t>
  </si>
  <si>
    <t xml:space="preserve">Estimated Impact</t>
  </si>
  <si>
    <t xml:space="preserve">Mitigation</t>
  </si>
  <si>
    <t xml:space="preserve">Manual GT established by single researcher (no second labeller) — subject to individual interpretation of the Fact/Claim boundary</t>
  </si>
  <si>
    <t xml:space="preserve">All GT comparison metrics in GT_Accuracy</t>
  </si>
  <si>
    <t xml:space="preserve">Moderate — especially for borderline cases. GT for V1 Fact count could reasonably range from 9 to 14 depending on boundary strictness.</t>
  </si>
  <si>
    <t xml:space="preserve">Boundary cases explicitly flagged in GT sheets (Boundary Case column = YES). The Fact/Claim boundary definition in Prompt_Template v1.0 is the authoritative reference.</t>
  </si>
  <si>
    <t xml:space="preserve">Sec 2.4, GT_V1_Semrush boundary column</t>
  </si>
  <si>
    <t xml:space="preserve">Only 2 pages tested (V1 Semrush KB, V2 WebFX). Module has not been validated against LOW-density pages with deliberate fact-sparse content.</t>
  </si>
  <si>
    <t xml:space="preserve">Density threshold calibration, Score discrimination</t>
  </si>
  <si>
    <t xml:space="preserve">Low — two-page design was intentional (max discrimination test). LOW density validation is Next Steps item.</t>
  </si>
  <si>
    <t xml:space="preserve">Next Steps: WP006a planned to add one LOW-density page (e.g. pure marketing landing page with no specifics) as the third test case.</t>
  </si>
  <si>
    <t xml:space="preserve">Sec 6 Next Steps</t>
  </si>
  <si>
    <t xml:space="preserve">Three model runs per page, not repeated runs. No test-retest reliability measured — single run may not represent stable output for each model.</t>
  </si>
  <si>
    <t xml:space="preserve">All classification counts — especially borderline sentence labels</t>
  </si>
  <si>
    <t xml:space="preserve">Low-moderate — LLM outputs can vary between runs. Single-run design accepted because Stage 1 definitions constrain output variance significantly.</t>
  </si>
  <si>
    <t xml:space="preserve">Prompt v1.0 embedded definitions reduce variance. Recommend 3-run average for production module validation.</t>
  </si>
  <si>
    <t xml:space="preserve">Sec 2.5, Run_Log</t>
  </si>
  <si>
    <t xml:space="preserve">Competitor scores (Stage 4) are model estimates, not independently verified against those pages' actual content</t>
  </si>
  <si>
    <t xml:space="preserve">Competitor_Scores and Competitor_Rankings sheets</t>
  </si>
  <si>
    <t xml:space="preserve">Moderate — competitor scores are directional, not precise. Ranking order is validated; absolute score accuracy is not.</t>
  </si>
  <si>
    <t xml:space="preserve">Competitor scores used for ranking order only (F5). Absolute competitor scores should be treated as indicative, not auditable.</t>
  </si>
  <si>
    <t xml:space="preserve">Compression Score (0-100) is a model-assessed composite in Stage 3, not a deterministic formula output. Different models apply different implicit weightings.</t>
  </si>
  <si>
    <t xml:space="preserve">Score_Comparison, Score_Discrimination</t>
  </si>
  <si>
    <t xml:space="preserve">High for ChatGPT and Gemini absolute scores — they deviate from GT range despite structurally valid reasoning.</t>
  </si>
  <si>
    <t xml:space="preserve">Module will use Claude as default (only score within GT range). Score formula will be made explicit in the production module rather than relying on model-assessed composite.</t>
  </si>
  <si>
    <t xml:space="preserve">Sec 5, Research_Assumptions formula reference</t>
  </si>
  <si>
    <t xml:space="preserve">Classification Boundary Review — Fact vs Claim vs Evidence Decision Log</t>
  </si>
  <si>
    <t xml:space="preserve">Working Paper 006  |  The boundary the module is built on — and the line ChatGPT crossed</t>
  </si>
  <si>
    <t xml:space="preserve">Every finding in WP006 depends on whether a sentence belongs to FACT, CLAIM, or EVIDENCE. The Fact/Claim line is where the entire paper's validity rests: if ChatGPT's 30-fact count is wrong, Finding F2 holds. If it is right, F2 collapses.</t>
  </si>
  <si>
    <t xml:space="preserve">This sheet documents the 20 highest-stakes classification decisions in the benchmark — why each sentence landed where it did, which models agreed, and what the ruling principle was. It is the decision log an auditor would need to challenge or validate F2.</t>
  </si>
  <si>
    <t xml:space="preserve">The module's definitions are not arbitrary: a FACT must be independently verifiable. A CLAIM asserts an outcome or capability that may be true but cannot be verified from the sentence alone. EVIDENCE must be attributed to a named source.</t>
  </si>
  <si>
    <t xml:space="preserve">Key rule throughout: feature descriptions such as 'identifies competitive gaps' or 'benchmarks brand AI visibility' are CLAIMS in this taxonomy. They assert a capability. A FACT equivalent would name the specific data point the feature surfaces.</t>
  </si>
  <si>
    <t xml:space="preserve">THE THREE DEFINITIONS (from Prompt_Template v1.0 — identical across all 3 models)</t>
  </si>
  <si>
    <t xml:space="preserve">Objective statement independently verifiable without visiting the page. Must contain a specific concrete detail: a number, a named entity, a documented event, a measurable limit. Test: could a fact-checker confirm this from a primary source?</t>
  </si>
  <si>
    <t xml:space="preserve">Assertion of benefit, outcome, capability, or quality that may be true but cannot be verified from the sentence alone. Feature descriptions are Claims unless a specific measurable metric is attached. Test: does this require trusting the author, or can it be independently confirmed?</t>
  </si>
  <si>
    <t xml:space="preserve">Information that supports a Claim by attribution. Must be traceable to a named source: a named case study with an outcome, a third-party rating with platform name and score, an attributed statistic, an expert quote with a name. Test: is there a named source an auditor could check?</t>
  </si>
  <si>
    <t xml:space="preserve">BOUNDARY DECISION LOG  |  20 CASES  |  Contested cases highlighted amber  |  Wrong model labels highlighted orange</t>
  </si>
  <si>
    <t xml:space="preserve">Sentence (verbatim from page)</t>
  </si>
  <si>
    <t xml:space="preserve">Ruling Principle</t>
  </si>
  <si>
    <t xml:space="preserve">UNAMBIGUOUS FACT. Specific dollar figure, named product, named plan tier. Independently verifiable from the Semrush pricing page. The definition of a Fact: any fact-checker can confirm this without trusting the author. No model disputed this.</t>
  </si>
  <si>
    <t xml:space="preserve">UNAMBIGUOUS FACT. Specific numeric quantity attached to a named system. The '+' qualifier indicates a floor, not an exact figure — the specific lower bound is the verifiable claim. Verifiable from Semrush product documentation.</t>
  </si>
  <si>
    <t xml:space="preserve">UNAMBIGUOUS FACT. A defined measurement scale with both bounds stated. Distinguishable from a Claim because it describes an instrument's properties, not an asserted benefit. A user can verify this by inspecting the product.</t>
  </si>
  <si>
    <t xml:space="preserve">UNAMBIGUOUS FACT. Named platform (Clutch), specific score (4.9/5), specific review count floor (700+). Three independently verifiable specifics in one sentence. Also functions as EVIDENCE — classified FACT here because specificity is the primary signal, not the attribution function.</t>
  </si>
  <si>
    <t xml:space="preserve">UNAMBIGUOUS FACT. Specific revenue aggregate with a named lower bound. 'Generated' describes a measurable aggregate outcome, not an asserted benefit. Verifiable from WebFX's published metrics. Not a Claim — it is a past tense record, not a forward-looking assertion.</t>
  </si>
  <si>
    <t xml:space="preserve">UNAMBIGUOUS FACT. A founding year is a verifiable historical event. The derived duration ('28 years') is arithmetically confirmed from the year. Neither component requires trusting the author.</t>
  </si>
  <si>
    <t xml:space="preserve">UNAMBIGUOUS CLAIM. A superlative with no comparative basis stated. 'Best-in-class' requires a defined class, a defined metric, and a named comparison set. None are provided. All three models correctly identified this as a Claim.</t>
  </si>
  <si>
    <t xml:space="preserve">UNAMBIGUOUS CLAIM. An outcome assertion with no measurement attached. 'Measurable' is used as a modifier implying quantification, but no number, time period, or case study is cited. Compare with: '14% average increase in branded AI mention share across customers in 90 days' — that would be a Fact.</t>
  </si>
  <si>
    <t xml:space="preserve">UNAMBIGUOUS CLAIM. A value statement with no operational definition. 'Transparency' and 'communication' are not measured or described. No model disputed this.</t>
  </si>
  <si>
    <t xml:space="preserve">UNAMBIGUOUS CLAIM. A brand promise, not a verified outcome. 'That works' is an assertion with no evidence attached. Compare with the WebFX Net Friends case study, which provides the same claim with attribution — that is Evidence.</t>
  </si>
  <si>
    <t xml:space="preserve">CONTESTED — CHATGPT INFLATED. A feature description asserting a capability. 'Benchmarks' describes what the tool does, not a verified output or measurement standard. A Fact equivalent: 'shows an AI Visibility Score (0-100) for your brand and up to 10 named competitors, updated daily.' That is verifiable. This sentence is not. ChatGPT treated the capability description as verification of the capability itself — the core Fact/Claim boundary failure in Finding F2.</t>
  </si>
  <si>
    <t xml:space="preserve">CONTESTED — CHATGPT INFLATED. The central boundary case in WP006. 'Identifies competitive gaps' names a feature outcome without defining what a gap is, how it is measured, or what data it is derived from. Claude's F6 recommendation was specifically to replace this with: 'shows which branded prompts in your category your competitors appear in but your brand does not.' That sentence is a Fact. This one is a Claim.</t>
  </si>
  <si>
    <t xml:space="preserve">CONTESTED — CHATGPT INFLATED. 'Analyses brand perception' names a feature action but provides no output specification. What does the analysis produce? A sentiment score? A verbatim extract? A frequency count? Without these, the sentence asserts the existence of an analysis without verifying it works as described. ChatGPT classified this as a Fact because the feature is named — but naming a feature is not the same as verifying it.</t>
  </si>
  <si>
    <t xml:space="preserve">CONTESTED — CHATGPT INFLATED. 'Presentation-ready' is a quality assertion, not a format specification. A Fact equivalent: 'exports dashboards as PDF and PowerPoint (.pptx) with scheduled delivery option.' That is verifiable. 'Generates presentation-ready reports' asserts a quality ('ready') without defining what ready means. Claude's F6 recommendation named this specific sentence for replacement.</t>
  </si>
  <si>
    <t xml:space="preserve">CONTESTED — CHATGPT INFLATED. 'Helps teams understand' is an outcome assertion with no named mechanism. Does it show a transcript? A sentiment score? A mention frequency? Without specifying the output, this is asserting a benefit — 'teams will understand' — rather than stating a verifiable capability. The outcome is asserted, not evidenced.</t>
  </si>
  <si>
    <t xml:space="preserve">CLEAR EVIDENCE — GEMINI MISSED. Named client (Net Friends), named metric (organic traffic), specific measured outcome (100%+ increase). All three attribution requirements met: named source, named metric, measurable outcome. Gemini classified as Fact, missing the evidence-chain function. Primary example for Finding F3: Gemini's evidence under-detection even when the evidence attribution is explicit.</t>
  </si>
  <si>
    <t xml:space="preserve">CLEAR EVIDENCE — GEMINI MISSED. Named industry (manufacturing), named metric (ROI), specific outcome (30%). An industry-attributed case study meets the attribution standard even without a company name — the industry vertical is the attribution anchor. Gemini classified as Fact, losing the evidence-support function and inflating the F-to-C ratio.</t>
  </si>
  <si>
    <t xml:space="preserve">CLEAR EVIDENCE — GEMINI MISSED. A portfolio-level aggregate outcome (15% average ROI) attributed to WebFX's client base. The 'average across portfolio' framing is the attribution: this is presented as a measured result across named clients, not a projection. Gemini classified as Fact — the third evidence miss that explains Gemini's evidence count of 2 vs GT 5-6.</t>
  </si>
  <si>
    <t xml:space="preserve">BORDERLINE — RULED FACT. Update frequency ('daily') is a specific, verifiable operational parameter. The borderline question: is a frequency specification verifiable without product access? Ruling: yes — Semrush's published documentation confirms the daily update cycle. If documentation had not confirmed it, this would be a Claim. Documented here because frequency claims frequently sit on the Fact/Claim boundary.</t>
  </si>
  <si>
    <t xml:space="preserve">BORDERLINE — RULED FACT (dual-purpose). Named third party (Gartner), named award category (Cool Vendor), specific year (2024). Three independently verifiable specifics. Classified as FACT in GT because specificity is the primary signal. But it simultaneously functions as EVIDENCE — it supports WebFX's quality claims. Documented because FACT/EVIDENCE dual-purpose sentences are common in evidence-rich pages and require a ruling.</t>
  </si>
  <si>
    <t xml:space="preserve">BORDERLINE — RULED EVIDENCE (not FACT). Named platform (Clutch), named rank (#1), specific review floor (700+). Could be classified as FACT given the specificity. Ruled EVIDENCE because its primary function in the text is to support quality claims — it is a third-party verdict, not a product parameter. The distinction: a Fact describes what a thing is; Evidence describes what an external party said about it. All models agreed.</t>
  </si>
  <si>
    <t xml:space="preserve">BOUNDARY SUMMARY</t>
  </si>
  <si>
    <t xml:space="preserve">Cases documented</t>
  </si>
  <si>
    <t xml:space="preserve">Covers all 3 categories: anchor facts, anchor claims, contested zone, clear evidence, genuine borderlines</t>
  </si>
  <si>
    <t xml:space="preserve">All 3 models agreed with GT</t>
  </si>
  <si>
    <t xml:space="preserve">High agreement on the unambiguous cases confirms the definitions are well-formed</t>
  </si>
  <si>
    <t xml:space="preserve">Claude matched GT</t>
  </si>
  <si>
    <t xml:space="preserve">21/21 — consistent with Finding F4 (Claude most calibrated)</t>
  </si>
  <si>
    <t xml:space="preserve">ChatGPT diverged from GT</t>
  </si>
  <si>
    <t xml:space="preserve">All 5 divergences are in V1 Semrush feature descriptions — the Fact/Claim boundary failure in Finding F2</t>
  </si>
  <si>
    <t xml:space="preserve">Gemini diverged from GT</t>
  </si>
  <si>
    <t xml:space="preserve">All 3 divergences are V2 WebFX evidence items misclassified as Facts — the under-detection pattern in Finding F3</t>
  </si>
  <si>
    <t xml:space="preserve">THE KEY RULE: A sentence is a FACT if and only if it contains a specific, independently verifiable detail. Feature descriptions assert that something happens — they do not verify it works as described. The module embeds this distinction in the prompt definitions precisely because early prototype testing showed all three models defaulting to FACT for feature descriptions without explicit guidance. ChatGPT crossed the line anyway on 5 V1 sentences, producing 30 facts vs Claude's 14 and GT's ~11. That divergence is Finding F2. This sheet is the audit trail for that finding.</t>
  </si>
</sst>
</file>

<file path=xl/styles.xml><?xml version="1.0" encoding="utf-8"?>
<styleSheet xmlns="http://schemas.openxmlformats.org/spreadsheetml/2006/main">
  <numFmts count="3">
    <numFmt numFmtId="164" formatCode="General"/>
    <numFmt numFmtId="165" formatCode="0.0%"/>
    <numFmt numFmtId="166" formatCode="General"/>
  </numFmts>
  <fonts count="43">
    <font>
      <sz val="11"/>
      <color theme="1"/>
      <name val="Calibri"/>
      <family val="2"/>
      <charset val="1"/>
    </font>
    <font>
      <sz val="10"/>
      <name val="Arial"/>
      <family val="0"/>
    </font>
    <font>
      <sz val="10"/>
      <name val="Arial"/>
      <family val="0"/>
    </font>
    <font>
      <sz val="10"/>
      <name val="Arial"/>
      <family val="0"/>
    </font>
    <font>
      <b val="true"/>
      <sz val="15"/>
      <color rgb="FF1E3A5F"/>
      <name val="Arial"/>
      <family val="0"/>
      <charset val="1"/>
    </font>
    <font>
      <i val="true"/>
      <sz val="10"/>
      <color rgb="FF4A4640"/>
      <name val="Arial"/>
      <family val="0"/>
      <charset val="1"/>
    </font>
    <font>
      <b val="true"/>
      <sz val="11"/>
      <color rgb="FF1E3A5F"/>
      <name val="Arial"/>
      <family val="0"/>
      <charset val="1"/>
    </font>
    <font>
      <sz val="10"/>
      <color rgb="FF000000"/>
      <name val="Arial"/>
      <family val="0"/>
      <charset val="1"/>
    </font>
    <font>
      <b val="true"/>
      <sz val="14"/>
      <color rgb="FF1E3A5F"/>
      <name val="Arial"/>
      <family val="0"/>
      <charset val="1"/>
    </font>
    <font>
      <i val="true"/>
      <sz val="9"/>
      <color rgb="FF7A7570"/>
      <name val="Arial"/>
      <family val="0"/>
      <charset val="1"/>
    </font>
    <font>
      <b val="true"/>
      <sz val="10"/>
      <color rgb="FFFFFFFF"/>
      <name val="Arial"/>
      <family val="0"/>
      <charset val="1"/>
    </font>
    <font>
      <sz val="9"/>
      <color rgb="FF1A3A1A"/>
      <name val="Courier New"/>
      <family val="0"/>
      <charset val="1"/>
    </font>
    <font>
      <b val="true"/>
      <sz val="10"/>
      <color rgb="FF0F5132"/>
      <name val="Arial"/>
      <family val="0"/>
      <charset val="1"/>
    </font>
    <font>
      <b val="true"/>
      <sz val="10"/>
      <color rgb="FF7C2D12"/>
      <name val="Arial"/>
      <family val="0"/>
      <charset val="1"/>
    </font>
    <font>
      <b val="true"/>
      <sz val="10"/>
      <color rgb="FF1E3A8A"/>
      <name val="Arial"/>
      <family val="0"/>
      <charset val="1"/>
    </font>
    <font>
      <b val="true"/>
      <sz val="11"/>
      <color rgb="FF92400E"/>
      <name val="Arial"/>
      <family val="0"/>
      <charset val="1"/>
    </font>
    <font>
      <b val="true"/>
      <sz val="10"/>
      <color rgb="FF92400E"/>
      <name val="Arial"/>
      <family val="0"/>
      <charset val="1"/>
    </font>
    <font>
      <sz val="10"/>
      <color rgb="FFD4ED34"/>
      <name val="Arial"/>
      <family val="0"/>
      <charset val="1"/>
    </font>
    <font>
      <b val="true"/>
      <sz val="13"/>
      <color rgb="FF1E3A5F"/>
      <name val="Arial"/>
      <family val="0"/>
      <charset val="1"/>
    </font>
    <font>
      <i val="true"/>
      <sz val="9"/>
      <color rgb="FF4A4640"/>
      <name val="Arial"/>
      <family val="0"/>
      <charset val="1"/>
    </font>
    <font>
      <sz val="10"/>
      <color rgb="FF7A7570"/>
      <name val="Arial"/>
      <family val="0"/>
      <charset val="1"/>
    </font>
    <font>
      <b val="true"/>
      <sz val="12"/>
      <color rgb="FF000000"/>
      <name val="Arial"/>
      <family val="0"/>
      <charset val="1"/>
    </font>
    <font>
      <b val="true"/>
      <sz val="10"/>
      <color rgb="FF000000"/>
      <name val="Arial"/>
      <family val="0"/>
      <charset val="1"/>
    </font>
    <font>
      <b val="true"/>
      <sz val="11"/>
      <color rgb="FF0000FF"/>
      <name val="Arial"/>
      <family val="0"/>
      <charset val="1"/>
    </font>
    <font>
      <sz val="10"/>
      <color rgb="FF92400E"/>
      <name val="Arial"/>
      <family val="0"/>
      <charset val="1"/>
    </font>
    <font>
      <b val="true"/>
      <sz val="10"/>
      <color rgb="FF1E3A5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000000"/>
      <name val="Arial"/>
      <family val="0"/>
      <charset val="1"/>
    </font>
    <font>
      <b val="true"/>
      <sz val="10"/>
      <color rgb="FF0000FF"/>
      <name val="Arial"/>
      <family val="0"/>
      <charset val="1"/>
    </font>
    <font>
      <sz val="10"/>
      <color rgb="FF0000FF"/>
      <name val="Arial"/>
      <family val="0"/>
      <charset val="1"/>
    </font>
    <font>
      <sz val="10"/>
      <color rgb="FF7C2D12"/>
      <name val="Arial"/>
      <family val="0"/>
      <charset val="1"/>
    </font>
    <font>
      <sz val="10"/>
      <color rgb="FF1E3A8A"/>
      <name val="Arial"/>
      <family val="0"/>
      <charset val="1"/>
    </font>
    <font>
      <sz val="10"/>
      <color rgb="FF008000"/>
      <name val="Arial"/>
      <family val="0"/>
      <charset val="1"/>
    </font>
    <font>
      <b val="true"/>
      <sz val="10"/>
      <color rgb="FF1A4A2E"/>
      <name val="Arial"/>
      <family val="0"/>
      <charset val="1"/>
    </font>
    <font>
      <sz val="10"/>
      <color rgb="FF2E2B26"/>
      <name val="Arial"/>
      <family val="0"/>
      <charset val="1"/>
    </font>
    <font>
      <b val="true"/>
      <sz val="11"/>
      <color rgb="FF0F5132"/>
      <name val="Arial"/>
      <family val="0"/>
      <charset val="1"/>
    </font>
    <font>
      <b val="true"/>
      <sz val="11"/>
      <color rgb="FF7C2D12"/>
      <name val="Arial"/>
      <family val="0"/>
      <charset val="1"/>
    </font>
    <font>
      <b val="true"/>
      <sz val="11"/>
      <color rgb="FF1E3A8A"/>
      <name val="Arial"/>
      <family val="0"/>
      <charset val="1"/>
    </font>
    <font>
      <b val="true"/>
      <sz val="10"/>
      <color rgb="FF1A1814"/>
      <name val="Arial"/>
      <family val="0"/>
      <charset val="1"/>
    </font>
    <font>
      <sz val="10"/>
      <color rgb="FF0F5132"/>
      <name val="Arial"/>
      <family val="0"/>
      <charset val="1"/>
    </font>
    <font>
      <i val="true"/>
      <sz val="10"/>
      <color rgb="FF1E3A5F"/>
      <name val="Arial"/>
      <family val="0"/>
      <charset val="1"/>
    </font>
  </fonts>
  <fills count="18">
    <fill>
      <patternFill patternType="none"/>
    </fill>
    <fill>
      <patternFill patternType="gray125"/>
    </fill>
    <fill>
      <patternFill patternType="solid">
        <fgColor rgb="FFF0F4FA"/>
        <bgColor rgb="FFF5F5F5"/>
      </patternFill>
    </fill>
    <fill>
      <patternFill patternType="solid">
        <fgColor rgb="FF1E3A5F"/>
        <bgColor rgb="FF1E3A8A"/>
      </patternFill>
    </fill>
    <fill>
      <patternFill patternType="solid">
        <fgColor rgb="FFF0F7F0"/>
        <bgColor rgb="FFF5F5F5"/>
      </patternFill>
    </fill>
    <fill>
      <patternFill patternType="solid">
        <fgColor rgb="FF92400E"/>
        <bgColor rgb="FF7C2D12"/>
      </patternFill>
    </fill>
    <fill>
      <patternFill patternType="solid">
        <fgColor rgb="FFD1FAE5"/>
        <bgColor rgb="FFD4EDDA"/>
      </patternFill>
    </fill>
    <fill>
      <patternFill patternType="solid">
        <fgColor rgb="FFFEE2E2"/>
        <bgColor rgb="FFFFE0E0"/>
      </patternFill>
    </fill>
    <fill>
      <patternFill patternType="solid">
        <fgColor rgb="FFFFF3CD"/>
        <bgColor rgb="FFFFE2CC"/>
      </patternFill>
    </fill>
    <fill>
      <patternFill patternType="solid">
        <fgColor rgb="FFDBEAFE"/>
        <bgColor rgb="FFE8F0FA"/>
      </patternFill>
    </fill>
    <fill>
      <patternFill patternType="solid">
        <fgColor rgb="FFD4EDDA"/>
        <bgColor rgb="FFD1FAE5"/>
      </patternFill>
    </fill>
    <fill>
      <patternFill patternType="solid">
        <fgColor rgb="FF1E5F3A"/>
        <bgColor rgb="FF065F46"/>
      </patternFill>
    </fill>
    <fill>
      <patternFill patternType="solid">
        <fgColor rgb="FFF5F5F5"/>
        <bgColor rgb="FFF0F4FA"/>
      </patternFill>
    </fill>
    <fill>
      <patternFill patternType="solid">
        <fgColor rgb="FF7C2D12"/>
        <bgColor rgb="FF92400E"/>
      </patternFill>
    </fill>
    <fill>
      <patternFill patternType="solid">
        <fgColor rgb="FFFFE0E0"/>
        <bgColor rgb="FFFEE2E2"/>
      </patternFill>
    </fill>
    <fill>
      <patternFill patternType="solid">
        <fgColor rgb="FF1E3A8A"/>
        <bgColor rgb="FF1E3A5F"/>
      </patternFill>
    </fill>
    <fill>
      <patternFill patternType="solid">
        <fgColor rgb="FFFFE2CC"/>
        <bgColor rgb="FFFFE0E0"/>
      </patternFill>
    </fill>
    <fill>
      <patternFill patternType="solid">
        <fgColor rgb="FFE8F0FA"/>
        <bgColor rgb="FFF0F4FA"/>
      </patternFill>
    </fill>
  </fills>
  <borders count="3">
    <border diagonalUp="false" diagonalDown="false">
      <left/>
      <right/>
      <top/>
      <bottom/>
      <diagonal/>
    </border>
    <border diagonalUp="false" diagonalDown="false">
      <left style="thin">
        <color rgb="FFC8C4BC"/>
      </left>
      <right style="thin">
        <color rgb="FFC8C4BC"/>
      </right>
      <top style="thin">
        <color rgb="FFC8C4BC"/>
      </top>
      <bottom style="thin">
        <color rgb="FFC8C4BC"/>
      </bottom>
      <diagonal/>
    </border>
    <border diagonalUp="false" diagonalDown="false">
      <left style="thin">
        <color rgb="FFC8C4BC"/>
      </left>
      <right/>
      <top style="thin">
        <color rgb="FFC8C4BC"/>
      </top>
      <bottom style="thin">
        <color rgb="FFC8C4B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11" fillId="4" borderId="0" xfId="0" applyFont="true" applyBorder="true" applyAlignment="true" applyProtection="false">
      <alignment horizontal="general" vertical="center" textRotation="0" wrapText="false" indent="0" shrinkToFit="false"/>
      <protection locked="true" hidden="false"/>
    </xf>
    <xf numFmtId="164" fontId="10" fillId="5" borderId="0" xfId="0" applyFont="true" applyBorder="true" applyAlignment="true" applyProtection="false">
      <alignment horizontal="left" vertical="center" textRotation="0" wrapText="fals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xf numFmtId="164" fontId="0" fillId="8" borderId="1" xfId="0" applyFont="true" applyBorder="true" applyAlignment="true" applyProtection="false">
      <alignment horizontal="general" vertical="top" textRotation="0" wrapText="true" indent="0" shrinkToFit="false"/>
      <protection locked="true" hidden="false"/>
    </xf>
    <xf numFmtId="164" fontId="14" fillId="9"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17" fillId="10"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10" fillId="11" borderId="0" xfId="0" applyFont="true" applyBorder="true" applyAlignment="true" applyProtection="false">
      <alignment horizontal="left" vertical="center" textRotation="0" wrapText="false" indent="0" shrinkToFit="false"/>
      <protection locked="true" hidden="false"/>
    </xf>
    <xf numFmtId="164" fontId="10" fillId="11" borderId="1" xfId="0" applyFont="true" applyBorder="true" applyAlignment="true" applyProtection="false">
      <alignment horizontal="left"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20" fillId="12"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6" fontId="21" fillId="6"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6" fontId="21" fillId="7"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6" fontId="21" fillId="9" borderId="1"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10" fillId="13" borderId="0" xfId="0" applyFont="true" applyBorder="true" applyAlignment="true" applyProtection="false">
      <alignment horizontal="left" vertical="center" textRotation="0" wrapText="false" indent="0" shrinkToFit="false"/>
      <protection locked="true" hidden="false"/>
    </xf>
    <xf numFmtId="164" fontId="10" fillId="13" borderId="1" xfId="0" applyFont="true" applyBorder="true" applyAlignment="true" applyProtection="false">
      <alignment horizontal="left" vertical="center" textRotation="0" wrapText="true" indent="0" shrinkToFit="false"/>
      <protection locked="true" hidden="false"/>
    </xf>
    <xf numFmtId="164" fontId="7" fillId="14" borderId="1" xfId="0" applyFont="true" applyBorder="true" applyAlignment="true" applyProtection="false">
      <alignment horizontal="general" vertical="top" textRotation="0" wrapText="true" indent="0" shrinkToFit="false"/>
      <protection locked="true" hidden="false"/>
    </xf>
    <xf numFmtId="164" fontId="10" fillId="15" borderId="0" xfId="0" applyFont="true" applyBorder="true" applyAlignment="true" applyProtection="false">
      <alignment horizontal="left" vertical="center" textRotation="0" wrapText="false" indent="0" shrinkToFit="false"/>
      <protection locked="true" hidden="false"/>
    </xf>
    <xf numFmtId="164" fontId="10" fillId="15"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0" fillId="10" borderId="1" xfId="0" applyFont="true" applyBorder="true" applyAlignment="true" applyProtection="false">
      <alignment horizontal="general" vertical="top" textRotation="0" wrapText="true" indent="0" shrinkToFit="false"/>
      <protection locked="true" hidden="false"/>
    </xf>
    <xf numFmtId="164" fontId="0" fillId="7"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0" fillId="10" borderId="0" xfId="0" applyFont="true" applyBorder="true" applyAlignment="true" applyProtection="false">
      <alignment horizontal="general" vertical="bottom" textRotation="0" wrapText="false" indent="0" shrinkToFit="false"/>
      <protection locked="true" hidden="false"/>
    </xf>
    <xf numFmtId="166" fontId="29" fillId="0" borderId="1" xfId="0" applyFont="true" applyBorder="true" applyAlignment="true" applyProtection="false">
      <alignment horizontal="general" vertical="top" textRotation="0" wrapText="true" indent="0" shrinkToFit="false"/>
      <protection locked="true" hidden="false"/>
    </xf>
    <xf numFmtId="164" fontId="29" fillId="10" borderId="0" xfId="0" applyFont="true" applyBorder="false" applyAlignment="true" applyProtection="false">
      <alignment horizontal="general" vertical="bottom" textRotation="0" wrapText="false" indent="0" shrinkToFit="false"/>
      <protection locked="true" hidden="false"/>
    </xf>
    <xf numFmtId="164" fontId="0" fillId="8" borderId="0" xfId="0" applyFont="true" applyBorder="true" applyAlignment="true" applyProtection="false">
      <alignment horizontal="general" vertical="top" textRotation="0" wrapText="true" indent="0" shrinkToFit="false"/>
      <protection locked="true" hidden="false"/>
    </xf>
    <xf numFmtId="164" fontId="30"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31" fillId="0" borderId="1" xfId="0" applyFont="true" applyBorder="true" applyAlignment="true" applyProtection="false">
      <alignment horizontal="general" vertical="top" textRotation="0" wrapText="true" indent="0" shrinkToFit="false"/>
      <protection locked="true" hidden="false"/>
    </xf>
    <xf numFmtId="164" fontId="32" fillId="0" borderId="1" xfId="0" applyFont="true" applyBorder="true" applyAlignment="true" applyProtection="false">
      <alignment horizontal="general" vertical="top" textRotation="0" wrapText="true" indent="0" shrinkToFit="false"/>
      <protection locked="true" hidden="false"/>
    </xf>
    <xf numFmtId="164" fontId="33" fillId="0" borderId="1" xfId="0" applyFont="true" applyBorder="true" applyAlignment="true" applyProtection="false">
      <alignment horizontal="general" vertical="top" textRotation="0" wrapText="true" indent="0" shrinkToFit="false"/>
      <protection locked="true" hidden="false"/>
    </xf>
    <xf numFmtId="166" fontId="0" fillId="10" borderId="0" xfId="0" applyFont="false" applyBorder="false" applyAlignment="true" applyProtection="false">
      <alignment horizontal="general" vertical="bottom" textRotation="0" wrapText="false" indent="0" shrinkToFit="false"/>
      <protection locked="true" hidden="false"/>
    </xf>
    <xf numFmtId="166" fontId="0" fillId="8" borderId="0" xfId="0" applyFont="fals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34" fillId="0" borderId="1" xfId="0" applyFont="true" applyBorder="true" applyAlignment="true" applyProtection="false">
      <alignment horizontal="general" vertical="top" textRotation="0" wrapText="true" indent="0" shrinkToFit="false"/>
      <protection locked="true" hidden="false"/>
    </xf>
    <xf numFmtId="164" fontId="35" fillId="1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37" fillId="6" borderId="1" xfId="0" applyFont="true" applyBorder="true" applyAlignment="true" applyProtection="false">
      <alignment horizontal="center" vertical="center" textRotation="0" wrapText="false" indent="0" shrinkToFit="false"/>
      <protection locked="true" hidden="false"/>
    </xf>
    <xf numFmtId="164" fontId="36" fillId="0" borderId="2" xfId="0" applyFont="true" applyBorder="true" applyAlignment="true" applyProtection="false">
      <alignment horizontal="general" vertical="top" textRotation="0" wrapText="true" indent="0" shrinkToFit="false"/>
      <protection locked="true" hidden="false"/>
    </xf>
    <xf numFmtId="164" fontId="38" fillId="7" borderId="1" xfId="0" applyFont="true" applyBorder="true" applyAlignment="true" applyProtection="false">
      <alignment horizontal="center" vertical="center" textRotation="0" wrapText="false" indent="0" shrinkToFit="false"/>
      <protection locked="true" hidden="false"/>
    </xf>
    <xf numFmtId="164" fontId="39" fillId="9" borderId="1" xfId="0" applyFont="true" applyBorder="true" applyAlignment="true" applyProtection="false">
      <alignment horizontal="center" vertical="center" textRotation="0" wrapText="false" indent="0" shrinkToFit="false"/>
      <protection locked="true" hidden="false"/>
    </xf>
    <xf numFmtId="164" fontId="40"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41" fillId="6" borderId="1" xfId="0" applyFont="true" applyBorder="true" applyAlignment="true" applyProtection="false">
      <alignment horizontal="general" vertical="top" textRotation="0" wrapText="true" indent="0" shrinkToFit="false"/>
      <protection locked="true" hidden="false"/>
    </xf>
    <xf numFmtId="164" fontId="36" fillId="0" borderId="1" xfId="0" applyFont="true" applyBorder="true" applyAlignment="true" applyProtection="false">
      <alignment horizontal="general" vertical="top" textRotation="0" wrapText="true" indent="0" shrinkToFit="false"/>
      <protection locked="true" hidden="false"/>
    </xf>
    <xf numFmtId="164" fontId="32" fillId="7" borderId="1" xfId="0" applyFont="true" applyBorder="true" applyAlignment="true" applyProtection="false">
      <alignment horizontal="general" vertical="top" textRotation="0" wrapText="true" indent="0" shrinkToFit="false"/>
      <protection locked="true" hidden="false"/>
    </xf>
    <xf numFmtId="164" fontId="13" fillId="16" borderId="1" xfId="0" applyFont="true" applyBorder="true" applyAlignment="true" applyProtection="false">
      <alignment horizontal="general" vertical="top" textRotation="0" wrapText="true" indent="0" shrinkToFit="false"/>
      <protection locked="true" hidden="false"/>
    </xf>
    <xf numFmtId="164" fontId="36" fillId="8" borderId="1" xfId="0" applyFont="true" applyBorder="true" applyAlignment="true" applyProtection="false">
      <alignment horizontal="general" vertical="top" textRotation="0" wrapText="true" indent="0" shrinkToFit="false"/>
      <protection locked="true" hidden="false"/>
    </xf>
    <xf numFmtId="164" fontId="33" fillId="9" borderId="1" xfId="0" applyFont="true" applyBorder="true" applyAlignment="true" applyProtection="false">
      <alignment horizontal="general" vertical="top"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9" fillId="0" borderId="1" xfId="0" applyFont="true" applyBorder="true" applyAlignment="false" applyProtection="false">
      <alignment horizontal="general" vertical="bottom" textRotation="0" wrapText="false" indent="0" shrinkToFit="false"/>
      <protection locked="true" hidden="false"/>
    </xf>
    <xf numFmtId="164" fontId="42" fillId="17"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D4ED34"/>
      <rgbColor rgb="FFFF00FF"/>
      <rgbColor rgb="FF00FFFF"/>
      <rgbColor rgb="FF800000"/>
      <rgbColor rgb="FF008000"/>
      <rgbColor rgb="FF1A4A2E"/>
      <rgbColor rgb="FF808000"/>
      <rgbColor rgb="FF800080"/>
      <rgbColor rgb="FF065F46"/>
      <rgbColor rgb="FFC8C4BC"/>
      <rgbColor rgb="FF878787"/>
      <rgbColor rgb="FFF0F4FA"/>
      <rgbColor rgb="FF7C2D12"/>
      <rgbColor rgb="FFFFF3CD"/>
      <rgbColor rgb="FFDBEAFE"/>
      <rgbColor rgb="FF660066"/>
      <rgbColor rgb="FFFF8080"/>
      <rgbColor rgb="FF0F5132"/>
      <rgbColor rgb="FFD9D9D9"/>
      <rgbColor rgb="FF000080"/>
      <rgbColor rgb="FFFF00FF"/>
      <rgbColor rgb="FFF5F5F5"/>
      <rgbColor rgb="FF00FFFF"/>
      <rgbColor rgb="FF800080"/>
      <rgbColor rgb="FF800000"/>
      <rgbColor rgb="FF1E5F3A"/>
      <rgbColor rgb="FF0000FF"/>
      <rgbColor rgb="FF00CCFF"/>
      <rgbColor rgb="FFD4EDDA"/>
      <rgbColor rgb="FFD1FAE5"/>
      <rgbColor rgb="FFF0F7F0"/>
      <rgbColor rgb="FFE8F0FA"/>
      <rgbColor rgb="FFFFE0E0"/>
      <rgbColor rgb="FFFEE2E2"/>
      <rgbColor rgb="FFFFE2CC"/>
      <rgbColor rgb="FF4F81BD"/>
      <rgbColor rgb="FF33CCCC"/>
      <rgbColor rgb="FF99CC00"/>
      <rgbColor rgb="FFFFCC00"/>
      <rgbColor rgb="FFFF9900"/>
      <rgbColor rgb="FFFF6600"/>
      <rgbColor rgb="FF7A7570"/>
      <rgbColor rgb="FF969696"/>
      <rgbColor rgb="FF1E3A5F"/>
      <rgbColor rgb="FF339966"/>
      <rgbColor rgb="FF1A1814"/>
      <rgbColor rgb="FF1A3A1A"/>
      <rgbColor rgb="FF92400E"/>
      <rgbColor rgb="FF4A4640"/>
      <rgbColor rgb="FF1E3A8A"/>
      <rgbColor rgb="FF2E2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Compression Scores: All 6 Runs</a:t>
            </a:r>
          </a:p>
        </c:rich>
      </c:tx>
      <c:overlay val="0"/>
      <c:spPr>
        <a:noFill/>
        <a:ln w="0">
          <a:noFill/>
        </a:ln>
      </c:spPr>
    </c:title>
    <c:autoTitleDeleted val="0"/>
    <c:plotArea>
      <c:barChart>
        <c:barDir val="col"/>
        <c:grouping val="clustered"/>
        <c:varyColors val="0"/>
        <c:ser>
          <c:idx val="0"/>
          <c:order val="0"/>
          <c:tx>
            <c:strRef>
              <c:f>Score_Comparison!D3</c:f>
              <c:strCache>
                <c:ptCount val="1"/>
                <c:pt idx="0">
                  <c:v>Score</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Score_Comparison!$C$4:$C$9</c:f>
              <c:strCache>
                <c:ptCount val="6"/>
                <c:pt idx="0">
                  <c:v>Claude Sonnet 4.6</c:v>
                </c:pt>
                <c:pt idx="1">
                  <c:v>ChatGPT GPT-5.5</c:v>
                </c:pt>
                <c:pt idx="2">
                  <c:v>Gemini 3.5 Flash</c:v>
                </c:pt>
                <c:pt idx="3">
                  <c:v>Claude Sonnet 4.6</c:v>
                </c:pt>
                <c:pt idx="4">
                  <c:v>ChatGPT GPT-5.5</c:v>
                </c:pt>
                <c:pt idx="5">
                  <c:v>Gemini 3.5 Flash</c:v>
                </c:pt>
              </c:strCache>
            </c:strRef>
          </c:cat>
          <c:val>
            <c:numRef>
              <c:f>Score_Comparison!$D$4:$D$9</c:f>
              <c:numCache>
                <c:formatCode>General</c:formatCode>
                <c:ptCount val="6"/>
                <c:pt idx="0">
                  <c:v>58</c:v>
                </c:pt>
                <c:pt idx="1">
                  <c:v>72</c:v>
                </c:pt>
                <c:pt idx="2">
                  <c:v>60</c:v>
                </c:pt>
                <c:pt idx="3">
                  <c:v>81</c:v>
                </c:pt>
                <c:pt idx="4">
                  <c:v>92</c:v>
                </c:pt>
                <c:pt idx="5">
                  <c:v>92</c:v>
                </c:pt>
              </c:numCache>
            </c:numRef>
          </c:val>
        </c:ser>
        <c:gapWidth val="150"/>
        <c:overlap val="0"/>
        <c:axId val="16747762"/>
        <c:axId val="66039967"/>
      </c:barChart>
      <c:catAx>
        <c:axId val="1674776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039967"/>
        <c:crosses val="autoZero"/>
        <c:auto val="1"/>
        <c:lblAlgn val="ctr"/>
        <c:lblOffset val="100"/>
        <c:noMultiLvlLbl val="0"/>
      </c:catAx>
      <c:valAx>
        <c:axId val="66039967"/>
        <c:scaling>
          <c:orientation val="minMax"/>
          <c:max val="100"/>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Score (0-100)</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74776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14</xdr:row>
      <xdr:rowOff>0</xdr:rowOff>
    </xdr:from>
    <xdr:to>
      <xdr:col>6</xdr:col>
      <xdr:colOff>416520</xdr:colOff>
      <xdr:row>32</xdr:row>
      <xdr:rowOff>169200</xdr:rowOff>
    </xdr:to>
    <xdr:graphicFrame>
      <xdr:nvGraphicFramePr>
        <xdr:cNvPr id="0" name="Chart 1"/>
        <xdr:cNvGraphicFramePr/>
      </xdr:nvGraphicFramePr>
      <xdr:xfrm>
        <a:off x="0" y="3962520"/>
        <a:ext cx="6478200" cy="359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5F"/>
    <pageSetUpPr fitToPage="false"/>
  </sheetPr>
  <dimension ref="A1:H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60"/>
    <col collapsed="false" customWidth="true" hidden="false" outlineLevel="0" max="4" min="4" style="1" width="20"/>
    <col collapsed="false" customWidth="true" hidden="false" outlineLevel="0" max="5" min="5" style="1" width="18"/>
  </cols>
  <sheetData>
    <row r="1" customFormat="false" ht="33.75" hidden="false" customHeight="true" outlineLevel="0" collapsed="false">
      <c r="A1" s="2" t="s">
        <v>0</v>
      </c>
      <c r="B1" s="2"/>
      <c r="C1" s="2"/>
      <c r="D1" s="2"/>
      <c r="E1" s="2"/>
      <c r="F1" s="2"/>
      <c r="G1" s="2"/>
      <c r="H1" s="2"/>
    </row>
    <row r="2" customFormat="false" ht="18" hidden="false" customHeight="true" outlineLevel="0" collapsed="false">
      <c r="A2" s="3" t="s">
        <v>1</v>
      </c>
      <c r="B2" s="3"/>
      <c r="C2" s="3"/>
      <c r="D2" s="3"/>
      <c r="E2" s="3"/>
      <c r="F2" s="3"/>
      <c r="G2" s="3"/>
      <c r="H2" s="3"/>
    </row>
    <row r="4" customFormat="false" ht="15" hidden="false" customHeight="true" outlineLevel="0" collapsed="false">
      <c r="A4" s="4" t="s">
        <v>2</v>
      </c>
      <c r="B4" s="4"/>
      <c r="C4" s="4"/>
      <c r="D4" s="4"/>
      <c r="E4" s="4"/>
      <c r="F4" s="4"/>
      <c r="G4" s="4"/>
      <c r="H4" s="4"/>
    </row>
    <row r="5" customFormat="false" ht="18" hidden="false" customHeight="true" outlineLevel="0" collapsed="false">
      <c r="A5" s="5" t="s">
        <v>3</v>
      </c>
      <c r="B5" s="5"/>
      <c r="C5" s="5"/>
      <c r="D5" s="5"/>
      <c r="E5" s="5"/>
      <c r="F5" s="5"/>
      <c r="G5" s="5"/>
      <c r="H5" s="5"/>
    </row>
    <row r="6" customFormat="false" ht="18" hidden="false" customHeight="true" outlineLevel="0" collapsed="false">
      <c r="A6" s="5" t="s">
        <v>4</v>
      </c>
      <c r="B6" s="5"/>
      <c r="C6" s="5"/>
      <c r="D6" s="5"/>
      <c r="E6" s="5"/>
      <c r="F6" s="5"/>
      <c r="G6" s="5"/>
      <c r="H6" s="5"/>
    </row>
    <row r="7" customFormat="false" ht="18" hidden="false" customHeight="true" outlineLevel="0" collapsed="false">
      <c r="A7" s="5" t="s">
        <v>5</v>
      </c>
      <c r="B7" s="5"/>
      <c r="C7" s="5"/>
      <c r="D7" s="5"/>
      <c r="E7" s="5"/>
      <c r="F7" s="5"/>
      <c r="G7" s="5"/>
      <c r="H7" s="5"/>
    </row>
    <row r="8" customFormat="false" ht="18" hidden="false" customHeight="true" outlineLevel="0" collapsed="false">
      <c r="A8" s="5" t="s">
        <v>6</v>
      </c>
      <c r="B8" s="5"/>
      <c r="C8" s="5"/>
      <c r="D8" s="5"/>
      <c r="E8" s="5"/>
      <c r="F8" s="5"/>
      <c r="G8" s="5"/>
      <c r="H8" s="5"/>
    </row>
    <row r="9" customFormat="false" ht="18" hidden="false" customHeight="true" outlineLevel="0" collapsed="false">
      <c r="A9" s="5" t="s">
        <v>7</v>
      </c>
      <c r="B9" s="5"/>
      <c r="C9" s="5"/>
      <c r="D9" s="5"/>
      <c r="E9" s="5"/>
      <c r="F9" s="5"/>
      <c r="G9" s="5"/>
      <c r="H9" s="5"/>
    </row>
    <row r="11" customFormat="false" ht="57" hidden="false" customHeight="true" outlineLevel="0" collapsed="false">
      <c r="A11" s="6" t="s">
        <v>8</v>
      </c>
      <c r="B11" s="6"/>
      <c r="C11" s="6"/>
      <c r="D11" s="6"/>
      <c r="E11" s="6"/>
    </row>
    <row r="12" customFormat="false" ht="27.75" hidden="false" customHeight="true" outlineLevel="0" collapsed="false">
      <c r="A12" s="7" t="s">
        <v>9</v>
      </c>
      <c r="B12" s="7" t="s">
        <v>10</v>
      </c>
      <c r="C12" s="7" t="s">
        <v>11</v>
      </c>
      <c r="D12" s="7" t="s">
        <v>12</v>
      </c>
      <c r="E12" s="7" t="s">
        <v>13</v>
      </c>
    </row>
    <row r="13" customFormat="false" ht="15" hidden="false" customHeight="true" outlineLevel="0" collapsed="false">
      <c r="A13" s="6" t="n">
        <v>1</v>
      </c>
      <c r="B13" s="6" t="s">
        <v>14</v>
      </c>
      <c r="C13" s="6" t="s">
        <v>15</v>
      </c>
      <c r="D13" s="6" t="s">
        <v>16</v>
      </c>
      <c r="E13" s="6" t="s">
        <v>17</v>
      </c>
    </row>
    <row r="14" customFormat="false" ht="15" hidden="false" customHeight="true" outlineLevel="0" collapsed="false">
      <c r="A14" s="7" t="n">
        <v>2</v>
      </c>
      <c r="B14" s="7" t="s">
        <v>18</v>
      </c>
      <c r="C14" s="7" t="s">
        <v>19</v>
      </c>
      <c r="D14" s="7" t="s">
        <v>20</v>
      </c>
      <c r="E14" s="7" t="s">
        <v>21</v>
      </c>
    </row>
    <row r="15" customFormat="false" ht="23.25" hidden="false" customHeight="true" outlineLevel="0" collapsed="false">
      <c r="A15" s="6" t="n">
        <v>3</v>
      </c>
      <c r="B15" s="6" t="s">
        <v>22</v>
      </c>
      <c r="C15" s="6" t="s">
        <v>23</v>
      </c>
      <c r="D15" s="6" t="s">
        <v>24</v>
      </c>
      <c r="E15" s="6" t="s">
        <v>25</v>
      </c>
    </row>
    <row r="16" customFormat="false" ht="23.25" hidden="false" customHeight="true" outlineLevel="0" collapsed="false">
      <c r="A16" s="7" t="n">
        <v>4</v>
      </c>
      <c r="B16" s="7" t="s">
        <v>26</v>
      </c>
      <c r="C16" s="7" t="s">
        <v>27</v>
      </c>
      <c r="D16" s="7" t="s">
        <v>24</v>
      </c>
      <c r="E16" s="7" t="s">
        <v>25</v>
      </c>
    </row>
    <row r="17" customFormat="false" ht="15" hidden="false" customHeight="true" outlineLevel="0" collapsed="false">
      <c r="A17" s="6" t="n">
        <v>5</v>
      </c>
      <c r="B17" s="6" t="s">
        <v>28</v>
      </c>
      <c r="C17" s="6" t="s">
        <v>29</v>
      </c>
      <c r="D17" s="6" t="s">
        <v>30</v>
      </c>
      <c r="E17" s="6" t="s">
        <v>31</v>
      </c>
    </row>
    <row r="18" customFormat="false" ht="15" hidden="false" customHeight="true" outlineLevel="0" collapsed="false">
      <c r="A18" s="7" t="n">
        <v>6</v>
      </c>
      <c r="B18" s="7" t="s">
        <v>32</v>
      </c>
      <c r="C18" s="7" t="s">
        <v>33</v>
      </c>
      <c r="D18" s="7" t="s">
        <v>34</v>
      </c>
      <c r="E18" s="7" t="s">
        <v>35</v>
      </c>
    </row>
    <row r="19" customFormat="false" ht="23.25" hidden="false" customHeight="true" outlineLevel="0" collapsed="false">
      <c r="A19" s="6" t="n">
        <v>7</v>
      </c>
      <c r="B19" s="6" t="s">
        <v>36</v>
      </c>
      <c r="C19" s="6" t="s">
        <v>37</v>
      </c>
      <c r="D19" s="6" t="s">
        <v>38</v>
      </c>
      <c r="E19" s="6" t="s">
        <v>39</v>
      </c>
    </row>
    <row r="20" customFormat="false" ht="23.25" hidden="false" customHeight="true" outlineLevel="0" collapsed="false">
      <c r="A20" s="7" t="n">
        <v>8</v>
      </c>
      <c r="B20" s="7" t="s">
        <v>40</v>
      </c>
      <c r="C20" s="7" t="s">
        <v>41</v>
      </c>
      <c r="D20" s="7" t="s">
        <v>38</v>
      </c>
      <c r="E20" s="7" t="s">
        <v>39</v>
      </c>
    </row>
    <row r="21" customFormat="false" ht="23.25" hidden="false" customHeight="true" outlineLevel="0" collapsed="false">
      <c r="A21" s="6" t="n">
        <v>9</v>
      </c>
      <c r="B21" s="6" t="s">
        <v>42</v>
      </c>
      <c r="C21" s="6" t="s">
        <v>43</v>
      </c>
      <c r="D21" s="6" t="s">
        <v>38</v>
      </c>
      <c r="E21" s="6" t="s">
        <v>39</v>
      </c>
    </row>
    <row r="22" customFormat="false" ht="23.25" hidden="false" customHeight="true" outlineLevel="0" collapsed="false">
      <c r="A22" s="7" t="n">
        <v>10</v>
      </c>
      <c r="B22" s="7" t="s">
        <v>44</v>
      </c>
      <c r="C22" s="7" t="s">
        <v>45</v>
      </c>
      <c r="D22" s="7" t="s">
        <v>46</v>
      </c>
      <c r="E22" s="7" t="s">
        <v>39</v>
      </c>
    </row>
    <row r="23" customFormat="false" ht="23.25" hidden="false" customHeight="true" outlineLevel="0" collapsed="false">
      <c r="A23" s="6" t="n">
        <v>11</v>
      </c>
      <c r="B23" s="6" t="s">
        <v>47</v>
      </c>
      <c r="C23" s="6" t="s">
        <v>48</v>
      </c>
      <c r="D23" s="6" t="s">
        <v>46</v>
      </c>
      <c r="E23" s="6" t="s">
        <v>39</v>
      </c>
    </row>
    <row r="24" customFormat="false" ht="23.25" hidden="false" customHeight="true" outlineLevel="0" collapsed="false">
      <c r="A24" s="7" t="n">
        <v>12</v>
      </c>
      <c r="B24" s="7" t="s">
        <v>49</v>
      </c>
      <c r="C24" s="7" t="s">
        <v>50</v>
      </c>
      <c r="D24" s="7" t="s">
        <v>46</v>
      </c>
      <c r="E24" s="7" t="s">
        <v>39</v>
      </c>
    </row>
    <row r="25" customFormat="false" ht="15" hidden="false" customHeight="true" outlineLevel="0" collapsed="false">
      <c r="A25" s="6" t="n">
        <v>13</v>
      </c>
      <c r="B25" s="6" t="s">
        <v>51</v>
      </c>
      <c r="C25" s="6" t="s">
        <v>52</v>
      </c>
      <c r="D25" s="6" t="s">
        <v>53</v>
      </c>
      <c r="E25" s="6" t="s">
        <v>54</v>
      </c>
    </row>
    <row r="26" customFormat="false" ht="15" hidden="false" customHeight="true" outlineLevel="0" collapsed="false">
      <c r="A26" s="7" t="n">
        <v>14</v>
      </c>
      <c r="B26" s="7" t="s">
        <v>55</v>
      </c>
      <c r="C26" s="7" t="s">
        <v>56</v>
      </c>
      <c r="D26" s="7" t="s">
        <v>57</v>
      </c>
      <c r="E26" s="7" t="s">
        <v>58</v>
      </c>
    </row>
    <row r="27" customFormat="false" ht="15" hidden="false" customHeight="true" outlineLevel="0" collapsed="false">
      <c r="A27" s="6" t="n">
        <v>15</v>
      </c>
      <c r="B27" s="6" t="s">
        <v>59</v>
      </c>
      <c r="C27" s="6" t="s">
        <v>60</v>
      </c>
      <c r="D27" s="6" t="s">
        <v>61</v>
      </c>
      <c r="E27" s="6" t="s">
        <v>62</v>
      </c>
    </row>
    <row r="28" customFormat="false" ht="15" hidden="false" customHeight="true" outlineLevel="0" collapsed="false">
      <c r="A28" s="7" t="n">
        <v>16</v>
      </c>
      <c r="B28" s="7" t="s">
        <v>63</v>
      </c>
      <c r="C28" s="7" t="s">
        <v>64</v>
      </c>
      <c r="D28" s="7" t="s">
        <v>65</v>
      </c>
      <c r="E28" s="7" t="s">
        <v>66</v>
      </c>
    </row>
    <row r="29" customFormat="false" ht="15" hidden="false" customHeight="true" outlineLevel="0" collapsed="false">
      <c r="A29" s="6" t="n">
        <v>17</v>
      </c>
      <c r="B29" s="6" t="s">
        <v>67</v>
      </c>
      <c r="C29" s="6" t="s">
        <v>68</v>
      </c>
      <c r="D29" s="6" t="s">
        <v>69</v>
      </c>
      <c r="E29" s="6" t="s">
        <v>70</v>
      </c>
    </row>
    <row r="30" customFormat="false" ht="15" hidden="false" customHeight="true" outlineLevel="0" collapsed="false">
      <c r="A30" s="7" t="n">
        <v>18</v>
      </c>
      <c r="B30" s="7" t="s">
        <v>71</v>
      </c>
      <c r="C30" s="7" t="s">
        <v>72</v>
      </c>
      <c r="D30" s="7" t="s">
        <v>73</v>
      </c>
      <c r="E30" s="7" t="s">
        <v>74</v>
      </c>
    </row>
    <row r="31" customFormat="false" ht="23.25" hidden="false" customHeight="true" outlineLevel="0" collapsed="false">
      <c r="A31" s="6" t="n">
        <v>19</v>
      </c>
      <c r="B31" s="6" t="s">
        <v>75</v>
      </c>
      <c r="C31" s="6" t="s">
        <v>76</v>
      </c>
      <c r="D31" s="6" t="s">
        <v>77</v>
      </c>
      <c r="E31" s="6" t="s">
        <v>62</v>
      </c>
    </row>
    <row r="32" customFormat="false" ht="15" hidden="false" customHeight="true" outlineLevel="0" collapsed="false">
      <c r="A32" s="7" t="n">
        <v>20</v>
      </c>
      <c r="B32" s="7" t="s">
        <v>78</v>
      </c>
      <c r="C32" s="7" t="s">
        <v>79</v>
      </c>
      <c r="D32" s="7" t="s">
        <v>80</v>
      </c>
      <c r="E32" s="7" t="s">
        <v>81</v>
      </c>
    </row>
    <row r="33" customFormat="false" ht="15" hidden="false" customHeight="true" outlineLevel="0" collapsed="false">
      <c r="A33" s="6" t="n">
        <v>21</v>
      </c>
      <c r="B33" s="6" t="s">
        <v>82</v>
      </c>
      <c r="C33" s="6" t="s">
        <v>83</v>
      </c>
      <c r="D33" s="6" t="s">
        <v>84</v>
      </c>
      <c r="E33" s="6" t="s">
        <v>85</v>
      </c>
    </row>
    <row r="34" customFormat="false" ht="15" hidden="false" customHeight="true" outlineLevel="0" collapsed="false">
      <c r="A34" s="7" t="n">
        <v>22</v>
      </c>
      <c r="B34" s="7" t="s">
        <v>86</v>
      </c>
      <c r="C34" s="7" t="s">
        <v>87</v>
      </c>
      <c r="D34" s="7" t="s">
        <v>88</v>
      </c>
      <c r="E34" s="7" t="s">
        <v>31</v>
      </c>
    </row>
  </sheetData>
  <mergeCells count="8">
    <mergeCell ref="A1:H1"/>
    <mergeCell ref="A2:H2"/>
    <mergeCell ref="A4:H4"/>
    <mergeCell ref="A5:H5"/>
    <mergeCell ref="A6:H6"/>
    <mergeCell ref="A7:H7"/>
    <mergeCell ref="A8:H8"/>
    <mergeCell ref="A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5F"/>
    <pageSetUpPr fitToPage="false"/>
  </sheetPr>
  <dimension ref="A1: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8"/>
    <col collapsed="false" customWidth="true" hidden="false" outlineLevel="0" max="3" min="3" style="1" width="26"/>
    <col collapsed="false" customWidth="true" hidden="false" outlineLevel="0" max="4" min="4" style="1" width="44"/>
    <col collapsed="false" customWidth="true" hidden="false" outlineLevel="0" max="5" min="5" style="1" width="18"/>
    <col collapsed="false" customWidth="true" hidden="false" outlineLevel="0" max="6" min="6" style="1" width="30"/>
  </cols>
  <sheetData>
    <row r="1" customFormat="false" ht="30" hidden="false" customHeight="true" outlineLevel="0" collapsed="false">
      <c r="A1" s="8" t="s">
        <v>89</v>
      </c>
      <c r="B1" s="8"/>
      <c r="C1" s="8"/>
      <c r="D1" s="8"/>
      <c r="E1" s="8"/>
      <c r="F1" s="8"/>
      <c r="G1" s="8"/>
    </row>
    <row r="2" customFormat="false" ht="18" hidden="false" customHeight="true" outlineLevel="0" collapsed="false">
      <c r="A2" s="3" t="s">
        <v>90</v>
      </c>
      <c r="B2" s="3"/>
      <c r="C2" s="3"/>
      <c r="D2" s="3"/>
      <c r="E2" s="3"/>
      <c r="F2" s="3"/>
      <c r="G2" s="3"/>
    </row>
    <row r="4" customFormat="false" ht="15.75" hidden="false" customHeight="true" outlineLevel="0" collapsed="false">
      <c r="A4" s="9" t="s">
        <v>91</v>
      </c>
      <c r="B4" s="9"/>
      <c r="C4" s="9"/>
      <c r="D4" s="9"/>
      <c r="E4" s="9"/>
      <c r="F4" s="9"/>
      <c r="G4" s="9"/>
    </row>
    <row r="5" customFormat="false" ht="15.75" hidden="false" customHeight="true" outlineLevel="0" collapsed="false">
      <c r="A5" s="9" t="s">
        <v>92</v>
      </c>
      <c r="B5" s="9"/>
      <c r="C5" s="9"/>
      <c r="D5" s="9"/>
      <c r="E5" s="9"/>
      <c r="F5" s="9"/>
      <c r="G5" s="9"/>
    </row>
    <row r="6" customFormat="false" ht="15.75" hidden="false" customHeight="true" outlineLevel="0" collapsed="false">
      <c r="A6" s="9" t="s">
        <v>93</v>
      </c>
      <c r="B6" s="9"/>
      <c r="C6" s="9"/>
      <c r="D6" s="9"/>
      <c r="E6" s="9"/>
      <c r="F6" s="9"/>
      <c r="G6" s="9"/>
    </row>
    <row r="8" customFormat="false" ht="15" hidden="false" customHeight="true" outlineLevel="0" collapsed="false">
      <c r="A8" s="10" t="s">
        <v>94</v>
      </c>
    </row>
    <row r="9" customFormat="false" ht="27.75" hidden="false" customHeight="true" outlineLevel="0" collapsed="false">
      <c r="A9" s="11" t="s">
        <v>95</v>
      </c>
      <c r="B9" s="11" t="s">
        <v>96</v>
      </c>
      <c r="C9" s="11" t="s">
        <v>97</v>
      </c>
      <c r="D9" s="11" t="s">
        <v>98</v>
      </c>
      <c r="E9" s="11" t="s">
        <v>99</v>
      </c>
    </row>
    <row r="10" customFormat="false" ht="55.5" hidden="false" customHeight="true" outlineLevel="0" collapsed="false">
      <c r="A10" s="7" t="s">
        <v>100</v>
      </c>
      <c r="B10" s="7" t="s">
        <v>101</v>
      </c>
      <c r="C10" s="7" t="s">
        <v>102</v>
      </c>
      <c r="D10" s="7" t="s">
        <v>103</v>
      </c>
      <c r="E10" s="7" t="s">
        <v>104</v>
      </c>
    </row>
    <row r="11" customFormat="false" ht="55.5" hidden="false" customHeight="true" outlineLevel="0" collapsed="false">
      <c r="A11" s="6" t="s">
        <v>105</v>
      </c>
      <c r="B11" s="6" t="s">
        <v>106</v>
      </c>
      <c r="C11" s="6" t="s">
        <v>107</v>
      </c>
      <c r="D11" s="6" t="s">
        <v>108</v>
      </c>
      <c r="E11" s="6" t="s">
        <v>109</v>
      </c>
    </row>
    <row r="12" customFormat="false" ht="55.5" hidden="false" customHeight="true" outlineLevel="0" collapsed="false">
      <c r="A12" s="7" t="s">
        <v>110</v>
      </c>
      <c r="B12" s="7" t="s">
        <v>111</v>
      </c>
      <c r="C12" s="7" t="n">
        <f aca="false">3*2</f>
        <v>6</v>
      </c>
      <c r="D12" s="7" t="s">
        <v>112</v>
      </c>
      <c r="E12" s="7" t="s">
        <v>32</v>
      </c>
    </row>
    <row r="13" customFormat="false" ht="55.5" hidden="false" customHeight="true" outlineLevel="0" collapsed="false">
      <c r="A13" s="6" t="s">
        <v>113</v>
      </c>
      <c r="B13" s="6" t="s">
        <v>114</v>
      </c>
      <c r="C13" s="6" t="s">
        <v>115</v>
      </c>
      <c r="D13" s="6" t="s">
        <v>116</v>
      </c>
      <c r="E13" s="6" t="s">
        <v>28</v>
      </c>
    </row>
    <row r="14" customFormat="false" ht="55.5" hidden="false" customHeight="true" outlineLevel="0" collapsed="false">
      <c r="A14" s="7" t="s">
        <v>117</v>
      </c>
      <c r="B14" s="7" t="s">
        <v>118</v>
      </c>
      <c r="C14" s="7" t="s">
        <v>119</v>
      </c>
      <c r="D14" s="7" t="s">
        <v>120</v>
      </c>
      <c r="E14" s="7" t="s">
        <v>121</v>
      </c>
    </row>
    <row r="15" customFormat="false" ht="55.5" hidden="false" customHeight="true" outlineLevel="0" collapsed="false">
      <c r="A15" s="6" t="s">
        <v>122</v>
      </c>
      <c r="B15" s="6" t="s">
        <v>123</v>
      </c>
      <c r="C15" s="6" t="s">
        <v>124</v>
      </c>
      <c r="D15" s="6" t="s">
        <v>125</v>
      </c>
      <c r="E15" s="6" t="s">
        <v>126</v>
      </c>
    </row>
    <row r="17" customFormat="false" ht="15" hidden="false" customHeight="true" outlineLevel="0" collapsed="false">
      <c r="A17" s="10" t="s">
        <v>127</v>
      </c>
    </row>
    <row r="18" customFormat="false" ht="27.75" hidden="false" customHeight="true" outlineLevel="0" collapsed="false">
      <c r="A18" s="11" t="s">
        <v>128</v>
      </c>
      <c r="B18" s="11" t="s">
        <v>129</v>
      </c>
      <c r="C18" s="11" t="s">
        <v>130</v>
      </c>
      <c r="D18" s="11" t="s">
        <v>131</v>
      </c>
      <c r="E18" s="11" t="s">
        <v>132</v>
      </c>
      <c r="F18" s="11" t="s">
        <v>99</v>
      </c>
    </row>
    <row r="19" customFormat="false" ht="39.75" hidden="false" customHeight="true" outlineLevel="0" collapsed="false">
      <c r="A19" s="6" t="s">
        <v>133</v>
      </c>
      <c r="B19" s="6" t="n">
        <v>14</v>
      </c>
      <c r="C19" s="6" t="s">
        <v>36</v>
      </c>
      <c r="D19" s="6" t="s">
        <v>134</v>
      </c>
      <c r="E19" s="6" t="s">
        <v>135</v>
      </c>
      <c r="F19" s="6" t="s">
        <v>136</v>
      </c>
    </row>
    <row r="20" customFormat="false" ht="39.75" hidden="false" customHeight="true" outlineLevel="0" collapsed="false">
      <c r="A20" s="7" t="s">
        <v>137</v>
      </c>
      <c r="B20" s="7" t="n">
        <v>30</v>
      </c>
      <c r="C20" s="7" t="s">
        <v>40</v>
      </c>
      <c r="D20" s="7" t="s">
        <v>138</v>
      </c>
      <c r="E20" s="7" t="s">
        <v>135</v>
      </c>
      <c r="F20" s="7" t="s">
        <v>139</v>
      </c>
    </row>
    <row r="21" customFormat="false" ht="39.75" hidden="false" customHeight="true" outlineLevel="0" collapsed="false">
      <c r="A21" s="6" t="s">
        <v>140</v>
      </c>
      <c r="B21" s="6" t="n">
        <v>14</v>
      </c>
      <c r="C21" s="6" t="s">
        <v>42</v>
      </c>
      <c r="D21" s="6" t="s">
        <v>134</v>
      </c>
      <c r="E21" s="6" t="s">
        <v>135</v>
      </c>
      <c r="F21" s="6" t="s">
        <v>141</v>
      </c>
    </row>
    <row r="22" customFormat="false" ht="39.75" hidden="false" customHeight="true" outlineLevel="0" collapsed="false">
      <c r="A22" s="7" t="s">
        <v>142</v>
      </c>
      <c r="B22" s="7" t="n">
        <v>58</v>
      </c>
      <c r="C22" s="7" t="s">
        <v>51</v>
      </c>
      <c r="D22" s="7" t="s">
        <v>143</v>
      </c>
      <c r="E22" s="7" t="s">
        <v>144</v>
      </c>
      <c r="F22" s="7" t="s">
        <v>145</v>
      </c>
    </row>
    <row r="23" customFormat="false" ht="39.75" hidden="false" customHeight="true" outlineLevel="0" collapsed="false">
      <c r="A23" s="6" t="s">
        <v>146</v>
      </c>
      <c r="B23" s="6" t="n">
        <v>72</v>
      </c>
      <c r="C23" s="6" t="s">
        <v>51</v>
      </c>
      <c r="D23" s="6" t="s">
        <v>147</v>
      </c>
      <c r="E23" s="6" t="s">
        <v>144</v>
      </c>
      <c r="F23" s="6" t="s">
        <v>145</v>
      </c>
    </row>
    <row r="24" customFormat="false" ht="39.75" hidden="false" customHeight="true" outlineLevel="0" collapsed="false">
      <c r="A24" s="7" t="s">
        <v>148</v>
      </c>
      <c r="B24" s="7" t="n">
        <v>60</v>
      </c>
      <c r="C24" s="7" t="s">
        <v>51</v>
      </c>
      <c r="D24" s="7" t="s">
        <v>149</v>
      </c>
      <c r="E24" s="7" t="s">
        <v>144</v>
      </c>
      <c r="F24" s="7" t="s">
        <v>145</v>
      </c>
    </row>
    <row r="25" customFormat="false" ht="39.75" hidden="false" customHeight="true" outlineLevel="0" collapsed="false">
      <c r="A25" s="6" t="s">
        <v>150</v>
      </c>
      <c r="B25" s="6" t="n">
        <v>16</v>
      </c>
      <c r="C25" s="6" t="s">
        <v>44</v>
      </c>
      <c r="D25" s="6" t="s">
        <v>134</v>
      </c>
      <c r="E25" s="6" t="s">
        <v>151</v>
      </c>
      <c r="F25" s="6" t="s">
        <v>44</v>
      </c>
    </row>
    <row r="26" customFormat="false" ht="39.75" hidden="false" customHeight="true" outlineLevel="0" collapsed="false">
      <c r="A26" s="7" t="s">
        <v>152</v>
      </c>
      <c r="B26" s="7" t="n">
        <v>8</v>
      </c>
      <c r="C26" s="7" t="s">
        <v>44</v>
      </c>
      <c r="D26" s="7" t="s">
        <v>153</v>
      </c>
      <c r="E26" s="7" t="s">
        <v>154</v>
      </c>
      <c r="F26" s="7" t="s">
        <v>155</v>
      </c>
    </row>
    <row r="27" customFormat="false" ht="39.75" hidden="false" customHeight="true" outlineLevel="0" collapsed="false">
      <c r="A27" s="6" t="s">
        <v>156</v>
      </c>
      <c r="B27" s="6" t="n">
        <v>2</v>
      </c>
      <c r="C27" s="6" t="s">
        <v>49</v>
      </c>
      <c r="D27" s="6" t="s">
        <v>157</v>
      </c>
      <c r="E27" s="6" t="s">
        <v>154</v>
      </c>
      <c r="F27" s="6" t="s">
        <v>158</v>
      </c>
    </row>
    <row r="28" customFormat="false" ht="39.75" hidden="false" customHeight="true" outlineLevel="0" collapsed="false">
      <c r="A28" s="7" t="s">
        <v>159</v>
      </c>
      <c r="B28" s="7" t="n">
        <v>81</v>
      </c>
      <c r="C28" s="7" t="s">
        <v>51</v>
      </c>
      <c r="D28" s="7" t="s">
        <v>160</v>
      </c>
      <c r="E28" s="7" t="s">
        <v>161</v>
      </c>
      <c r="F28" s="7" t="s">
        <v>145</v>
      </c>
    </row>
    <row r="29" customFormat="false" ht="39.75" hidden="false" customHeight="true" outlineLevel="0" collapsed="false">
      <c r="A29" s="6" t="s">
        <v>162</v>
      </c>
      <c r="B29" s="6" t="s">
        <v>163</v>
      </c>
      <c r="C29" s="6" t="s">
        <v>59</v>
      </c>
      <c r="D29" s="6" t="s">
        <v>164</v>
      </c>
      <c r="E29" s="6" t="s">
        <v>165</v>
      </c>
      <c r="F29" s="6" t="s">
        <v>59</v>
      </c>
    </row>
    <row r="30" customFormat="false" ht="39.75" hidden="false" customHeight="true" outlineLevel="0" collapsed="false">
      <c r="A30" s="7" t="s">
        <v>166</v>
      </c>
      <c r="B30" s="7" t="s">
        <v>167</v>
      </c>
      <c r="C30" s="7" t="s">
        <v>59</v>
      </c>
      <c r="D30" s="7" t="s">
        <v>168</v>
      </c>
      <c r="E30" s="7" t="s">
        <v>165</v>
      </c>
      <c r="F30" s="7" t="s">
        <v>59</v>
      </c>
    </row>
    <row r="31" customFormat="false" ht="39.75" hidden="false" customHeight="true" outlineLevel="0" collapsed="false">
      <c r="A31" s="6" t="s">
        <v>169</v>
      </c>
      <c r="B31" s="6" t="s">
        <v>170</v>
      </c>
      <c r="C31" s="6" t="s">
        <v>59</v>
      </c>
      <c r="D31" s="6" t="s">
        <v>171</v>
      </c>
      <c r="E31" s="6" t="s">
        <v>165</v>
      </c>
      <c r="F31" s="6" t="s">
        <v>59</v>
      </c>
    </row>
    <row r="34" customFormat="false" ht="15" hidden="false" customHeight="true" outlineLevel="0" collapsed="false">
      <c r="A34" s="10" t="s">
        <v>172</v>
      </c>
    </row>
    <row r="35" customFormat="false" ht="18" hidden="false" customHeight="true" outlineLevel="0" collapsed="false">
      <c r="A35" s="12" t="s">
        <v>173</v>
      </c>
      <c r="B35" s="12"/>
      <c r="C35" s="12"/>
      <c r="D35" s="12"/>
      <c r="E35" s="12"/>
      <c r="F35" s="12"/>
    </row>
    <row r="36" customFormat="false" ht="18" hidden="false" customHeight="true" outlineLevel="0" collapsed="false">
      <c r="A36" s="12" t="s">
        <v>174</v>
      </c>
      <c r="B36" s="12"/>
      <c r="C36" s="12"/>
      <c r="D36" s="12"/>
      <c r="E36" s="12"/>
      <c r="F36" s="12"/>
    </row>
    <row r="37" customFormat="false" ht="18" hidden="false" customHeight="true" outlineLevel="0" collapsed="false">
      <c r="A37" s="12" t="s">
        <v>175</v>
      </c>
      <c r="B37" s="12"/>
      <c r="C37" s="12"/>
      <c r="D37" s="12"/>
      <c r="E37" s="12"/>
      <c r="F37" s="12"/>
    </row>
    <row r="38" customFormat="false" ht="18" hidden="false" customHeight="true" outlineLevel="0" collapsed="false">
      <c r="A38" s="12" t="s">
        <v>176</v>
      </c>
      <c r="B38" s="12"/>
      <c r="C38" s="12"/>
      <c r="D38" s="12"/>
      <c r="E38" s="12"/>
      <c r="F38" s="12"/>
    </row>
    <row r="39" customFormat="false" ht="18" hidden="false" customHeight="true" outlineLevel="0" collapsed="false">
      <c r="A39" s="12" t="s">
        <v>177</v>
      </c>
      <c r="B39" s="12"/>
      <c r="C39" s="12"/>
      <c r="D39" s="12"/>
      <c r="E39" s="12"/>
      <c r="F39" s="12"/>
    </row>
  </sheetData>
  <mergeCells count="10">
    <mergeCell ref="A1:G1"/>
    <mergeCell ref="A2:G2"/>
    <mergeCell ref="A4:G4"/>
    <mergeCell ref="A5:G5"/>
    <mergeCell ref="A6:G6"/>
    <mergeCell ref="A35:F35"/>
    <mergeCell ref="A36:F36"/>
    <mergeCell ref="A37:F37"/>
    <mergeCell ref="A38:F38"/>
    <mergeCell ref="A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400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2"/>
    <col collapsed="false" customWidth="true" hidden="false" outlineLevel="0" max="3" min="3" style="1" width="12"/>
    <col collapsed="false" customWidth="true" hidden="false" outlineLevel="0" max="4" min="4" style="1" width="48"/>
    <col collapsed="false" customWidth="true" hidden="false" outlineLevel="0" max="5" min="5" style="1" width="20"/>
    <col collapsed="false" customWidth="true" hidden="false" outlineLevel="0" max="6" min="6" style="1" width="22"/>
  </cols>
  <sheetData>
    <row r="1" customFormat="false" ht="30" hidden="false" customHeight="true" outlineLevel="0" collapsed="false">
      <c r="A1" s="8" t="s">
        <v>178</v>
      </c>
      <c r="B1" s="8"/>
      <c r="C1" s="8"/>
      <c r="D1" s="8"/>
      <c r="E1" s="8"/>
      <c r="F1" s="8"/>
      <c r="G1" s="8"/>
      <c r="H1" s="8"/>
    </row>
    <row r="2" customFormat="false" ht="18" hidden="false" customHeight="true" outlineLevel="0" collapsed="false">
      <c r="A2" s="3" t="s">
        <v>179</v>
      </c>
      <c r="B2" s="3"/>
      <c r="C2" s="3"/>
      <c r="D2" s="3"/>
      <c r="E2" s="3"/>
      <c r="F2" s="3"/>
      <c r="G2" s="3"/>
      <c r="H2" s="3"/>
    </row>
    <row r="4" customFormat="false" ht="15.75" hidden="false" customHeight="true" outlineLevel="0" collapsed="false">
      <c r="A4" s="9" t="s">
        <v>180</v>
      </c>
      <c r="B4" s="9"/>
      <c r="C4" s="9"/>
      <c r="D4" s="9"/>
      <c r="E4" s="9"/>
      <c r="F4" s="9"/>
      <c r="G4" s="9"/>
      <c r="H4" s="9"/>
    </row>
    <row r="5" customFormat="false" ht="15.75" hidden="false" customHeight="true" outlineLevel="0" collapsed="false">
      <c r="A5" s="9" t="s">
        <v>181</v>
      </c>
      <c r="B5" s="9"/>
      <c r="C5" s="9"/>
      <c r="D5" s="9"/>
      <c r="E5" s="9"/>
      <c r="F5" s="9"/>
      <c r="G5" s="9"/>
      <c r="H5" s="9"/>
    </row>
    <row r="6" customFormat="false" ht="15.75" hidden="false" customHeight="true" outlineLevel="0" collapsed="false">
      <c r="A6" s="9" t="s">
        <v>182</v>
      </c>
      <c r="B6" s="9"/>
      <c r="C6" s="9"/>
      <c r="D6" s="9"/>
      <c r="E6" s="9"/>
      <c r="F6" s="9"/>
      <c r="G6" s="9"/>
      <c r="H6" s="9"/>
    </row>
    <row r="7" customFormat="false" ht="15.75" hidden="false" customHeight="true" outlineLevel="0" collapsed="false">
      <c r="A7" s="9" t="s">
        <v>183</v>
      </c>
      <c r="B7" s="9"/>
      <c r="C7" s="9"/>
      <c r="D7" s="9"/>
      <c r="E7" s="9"/>
      <c r="F7" s="9"/>
      <c r="G7" s="9"/>
      <c r="H7" s="9"/>
    </row>
    <row r="9" customFormat="false" ht="19.5" hidden="false" customHeight="true" outlineLevel="0" collapsed="false">
      <c r="A9" s="13" t="s">
        <v>184</v>
      </c>
      <c r="B9" s="13"/>
      <c r="C9" s="13"/>
      <c r="D9" s="13"/>
      <c r="E9" s="13"/>
      <c r="F9" s="13"/>
      <c r="G9" s="13"/>
      <c r="H9" s="13"/>
    </row>
    <row r="10" customFormat="false" ht="27.75" hidden="false" customHeight="true" outlineLevel="0" collapsed="false">
      <c r="A10" s="14" t="s">
        <v>185</v>
      </c>
      <c r="B10" s="14" t="s">
        <v>186</v>
      </c>
      <c r="C10" s="14" t="s">
        <v>187</v>
      </c>
      <c r="D10" s="14" t="s">
        <v>188</v>
      </c>
      <c r="E10" s="14" t="s">
        <v>189</v>
      </c>
      <c r="F10" s="14" t="s">
        <v>190</v>
      </c>
    </row>
    <row r="11" customFormat="false" ht="39.75" hidden="false" customHeight="true" outlineLevel="0" collapsed="false">
      <c r="A11" s="15" t="s">
        <v>191</v>
      </c>
      <c r="B11" s="15" t="s">
        <v>192</v>
      </c>
      <c r="C11" s="16" t="s">
        <v>193</v>
      </c>
      <c r="D11" s="15" t="s">
        <v>194</v>
      </c>
      <c r="E11" s="15" t="s">
        <v>195</v>
      </c>
      <c r="F11" s="15" t="s">
        <v>196</v>
      </c>
    </row>
    <row r="12" customFormat="false" ht="39.75" hidden="false" customHeight="true" outlineLevel="0" collapsed="false">
      <c r="A12" s="15" t="s">
        <v>197</v>
      </c>
      <c r="B12" s="15" t="s">
        <v>198</v>
      </c>
      <c r="C12" s="16" t="s">
        <v>193</v>
      </c>
      <c r="D12" s="15" t="s">
        <v>199</v>
      </c>
      <c r="E12" s="15" t="s">
        <v>195</v>
      </c>
      <c r="F12" s="15" t="s">
        <v>200</v>
      </c>
    </row>
    <row r="13" customFormat="false" ht="39.75" hidden="false" customHeight="true" outlineLevel="0" collapsed="false">
      <c r="A13" s="15" t="s">
        <v>201</v>
      </c>
      <c r="B13" s="15" t="s">
        <v>202</v>
      </c>
      <c r="C13" s="16" t="s">
        <v>193</v>
      </c>
      <c r="D13" s="15" t="s">
        <v>203</v>
      </c>
      <c r="E13" s="15" t="s">
        <v>195</v>
      </c>
      <c r="F13" s="15" t="s">
        <v>204</v>
      </c>
    </row>
    <row r="14" customFormat="false" ht="39.75" hidden="false" customHeight="true" outlineLevel="0" collapsed="false">
      <c r="A14" s="15" t="s">
        <v>205</v>
      </c>
      <c r="B14" s="15" t="s">
        <v>206</v>
      </c>
      <c r="C14" s="16" t="s">
        <v>193</v>
      </c>
      <c r="D14" s="15" t="s">
        <v>207</v>
      </c>
      <c r="E14" s="15" t="s">
        <v>195</v>
      </c>
      <c r="F14" s="15" t="s">
        <v>208</v>
      </c>
    </row>
    <row r="15" customFormat="false" ht="39.75" hidden="false" customHeight="true" outlineLevel="0" collapsed="false">
      <c r="A15" s="15" t="s">
        <v>209</v>
      </c>
      <c r="B15" s="15" t="s">
        <v>210</v>
      </c>
      <c r="C15" s="16" t="s">
        <v>193</v>
      </c>
      <c r="D15" s="15" t="s">
        <v>211</v>
      </c>
      <c r="E15" s="15" t="s">
        <v>212</v>
      </c>
      <c r="F15" s="15" t="s">
        <v>213</v>
      </c>
    </row>
    <row r="16" customFormat="false" ht="39.75" hidden="false" customHeight="true" outlineLevel="0" collapsed="false">
      <c r="A16" s="15" t="s">
        <v>214</v>
      </c>
      <c r="B16" s="15" t="s">
        <v>215</v>
      </c>
      <c r="C16" s="16" t="s">
        <v>193</v>
      </c>
      <c r="D16" s="15" t="s">
        <v>216</v>
      </c>
      <c r="E16" s="15" t="s">
        <v>195</v>
      </c>
      <c r="F16" s="15" t="s">
        <v>217</v>
      </c>
    </row>
    <row r="17" customFormat="false" ht="39.75" hidden="false" customHeight="true" outlineLevel="0" collapsed="false">
      <c r="A17" s="15" t="s">
        <v>218</v>
      </c>
      <c r="B17" s="15" t="s">
        <v>219</v>
      </c>
      <c r="C17" s="16" t="s">
        <v>193</v>
      </c>
      <c r="D17" s="15" t="s">
        <v>220</v>
      </c>
      <c r="E17" s="15" t="s">
        <v>212</v>
      </c>
      <c r="F17" s="15" t="s">
        <v>221</v>
      </c>
    </row>
    <row r="18" customFormat="false" ht="39.75" hidden="false" customHeight="true" outlineLevel="0" collapsed="false">
      <c r="A18" s="15" t="s">
        <v>222</v>
      </c>
      <c r="B18" s="15" t="s">
        <v>223</v>
      </c>
      <c r="C18" s="16" t="s">
        <v>193</v>
      </c>
      <c r="D18" s="15" t="s">
        <v>224</v>
      </c>
      <c r="E18" s="15" t="s">
        <v>212</v>
      </c>
      <c r="F18" s="15" t="s">
        <v>225</v>
      </c>
    </row>
    <row r="19" customFormat="false" ht="39.75" hidden="false" customHeight="true" outlineLevel="0" collapsed="false">
      <c r="A19" s="15" t="s">
        <v>226</v>
      </c>
      <c r="B19" s="15" t="s">
        <v>227</v>
      </c>
      <c r="C19" s="16" t="s">
        <v>193</v>
      </c>
      <c r="D19" s="15" t="s">
        <v>228</v>
      </c>
      <c r="E19" s="15" t="s">
        <v>195</v>
      </c>
      <c r="F19" s="15" t="s">
        <v>229</v>
      </c>
    </row>
    <row r="20" customFormat="false" ht="39.75" hidden="false" customHeight="true" outlineLevel="0" collapsed="false">
      <c r="A20" s="15" t="s">
        <v>230</v>
      </c>
      <c r="B20" s="15" t="s">
        <v>231</v>
      </c>
      <c r="C20" s="16" t="s">
        <v>193</v>
      </c>
      <c r="D20" s="15" t="s">
        <v>232</v>
      </c>
      <c r="E20" s="15" t="s">
        <v>195</v>
      </c>
      <c r="F20" s="15" t="s">
        <v>233</v>
      </c>
    </row>
    <row r="21" customFormat="false" ht="39.75" hidden="false" customHeight="true" outlineLevel="0" collapsed="false">
      <c r="A21" s="15" t="s">
        <v>234</v>
      </c>
      <c r="B21" s="15" t="s">
        <v>235</v>
      </c>
      <c r="C21" s="16" t="s">
        <v>193</v>
      </c>
      <c r="D21" s="15" t="s">
        <v>236</v>
      </c>
      <c r="E21" s="15" t="s">
        <v>195</v>
      </c>
      <c r="F21" s="15" t="s">
        <v>237</v>
      </c>
    </row>
    <row r="22" customFormat="false" ht="39.75" hidden="false" customHeight="true" outlineLevel="0" collapsed="false">
      <c r="A22" s="15" t="s">
        <v>238</v>
      </c>
      <c r="B22" s="15" t="s">
        <v>239</v>
      </c>
      <c r="C22" s="17" t="s">
        <v>240</v>
      </c>
      <c r="D22" s="15" t="s">
        <v>241</v>
      </c>
      <c r="E22" s="18" t="s">
        <v>242</v>
      </c>
      <c r="F22" s="15" t="s">
        <v>243</v>
      </c>
    </row>
    <row r="23" customFormat="false" ht="39.75" hidden="false" customHeight="true" outlineLevel="0" collapsed="false">
      <c r="A23" s="15" t="s">
        <v>244</v>
      </c>
      <c r="B23" s="15" t="s">
        <v>245</v>
      </c>
      <c r="C23" s="17" t="s">
        <v>240</v>
      </c>
      <c r="D23" s="15" t="s">
        <v>246</v>
      </c>
      <c r="E23" s="18" t="s">
        <v>242</v>
      </c>
      <c r="F23" s="15" t="s">
        <v>247</v>
      </c>
    </row>
    <row r="24" customFormat="false" ht="39.75" hidden="false" customHeight="true" outlineLevel="0" collapsed="false">
      <c r="A24" s="15" t="s">
        <v>248</v>
      </c>
      <c r="B24" s="15" t="s">
        <v>249</v>
      </c>
      <c r="C24" s="17" t="s">
        <v>240</v>
      </c>
      <c r="D24" s="15" t="s">
        <v>250</v>
      </c>
      <c r="E24" s="18" t="s">
        <v>242</v>
      </c>
      <c r="F24" s="15" t="s">
        <v>251</v>
      </c>
    </row>
    <row r="25" customFormat="false" ht="39.75" hidden="false" customHeight="true" outlineLevel="0" collapsed="false">
      <c r="A25" s="15" t="s">
        <v>252</v>
      </c>
      <c r="B25" s="15" t="s">
        <v>253</v>
      </c>
      <c r="C25" s="17" t="s">
        <v>240</v>
      </c>
      <c r="D25" s="15" t="s">
        <v>254</v>
      </c>
      <c r="E25" s="15" t="s">
        <v>195</v>
      </c>
      <c r="F25" s="15" t="s">
        <v>247</v>
      </c>
    </row>
    <row r="26" customFormat="false" ht="39.75" hidden="false" customHeight="true" outlineLevel="0" collapsed="false">
      <c r="A26" s="15" t="s">
        <v>255</v>
      </c>
      <c r="B26" s="15" t="s">
        <v>256</v>
      </c>
      <c r="C26" s="17" t="s">
        <v>240</v>
      </c>
      <c r="D26" s="15" t="s">
        <v>257</v>
      </c>
      <c r="E26" s="15" t="s">
        <v>195</v>
      </c>
      <c r="F26" s="15" t="s">
        <v>247</v>
      </c>
    </row>
    <row r="27" customFormat="false" ht="39.75" hidden="false" customHeight="true" outlineLevel="0" collapsed="false">
      <c r="A27" s="15" t="s">
        <v>258</v>
      </c>
      <c r="B27" s="15" t="s">
        <v>259</v>
      </c>
      <c r="C27" s="17" t="s">
        <v>240</v>
      </c>
      <c r="D27" s="15" t="s">
        <v>260</v>
      </c>
      <c r="E27" s="15" t="s">
        <v>261</v>
      </c>
      <c r="F27" s="15" t="s">
        <v>73</v>
      </c>
    </row>
    <row r="28" customFormat="false" ht="39.75" hidden="false" customHeight="true" outlineLevel="0" collapsed="false">
      <c r="A28" s="15" t="s">
        <v>262</v>
      </c>
      <c r="B28" s="15" t="s">
        <v>263</v>
      </c>
      <c r="C28" s="17" t="s">
        <v>240</v>
      </c>
      <c r="D28" s="15" t="s">
        <v>264</v>
      </c>
      <c r="E28" s="15" t="s">
        <v>195</v>
      </c>
      <c r="F28" s="15" t="s">
        <v>247</v>
      </c>
    </row>
    <row r="29" customFormat="false" ht="39.75" hidden="false" customHeight="true" outlineLevel="0" collapsed="false">
      <c r="A29" s="15" t="s">
        <v>265</v>
      </c>
      <c r="B29" s="15" t="s">
        <v>266</v>
      </c>
      <c r="C29" s="17" t="s">
        <v>240</v>
      </c>
      <c r="D29" s="15" t="s">
        <v>267</v>
      </c>
      <c r="E29" s="15" t="s">
        <v>195</v>
      </c>
      <c r="F29" s="15" t="s">
        <v>247</v>
      </c>
    </row>
    <row r="30" customFormat="false" ht="39.75" hidden="false" customHeight="true" outlineLevel="0" collapsed="false">
      <c r="A30" s="15" t="s">
        <v>268</v>
      </c>
      <c r="B30" s="15" t="s">
        <v>269</v>
      </c>
      <c r="C30" s="17" t="s">
        <v>240</v>
      </c>
      <c r="D30" s="15" t="s">
        <v>270</v>
      </c>
      <c r="E30" s="15" t="s">
        <v>195</v>
      </c>
      <c r="F30" s="15" t="s">
        <v>247</v>
      </c>
    </row>
    <row r="31" customFormat="false" ht="39.75" hidden="false" customHeight="true" outlineLevel="0" collapsed="false">
      <c r="A31" s="15" t="s">
        <v>271</v>
      </c>
      <c r="B31" s="15" t="s">
        <v>272</v>
      </c>
      <c r="C31" s="17" t="s">
        <v>240</v>
      </c>
      <c r="D31" s="15" t="s">
        <v>273</v>
      </c>
      <c r="E31" s="15" t="s">
        <v>195</v>
      </c>
      <c r="F31" s="15" t="s">
        <v>247</v>
      </c>
    </row>
    <row r="32" customFormat="false" ht="39.75" hidden="false" customHeight="true" outlineLevel="0" collapsed="false">
      <c r="A32" s="15" t="s">
        <v>274</v>
      </c>
      <c r="B32" s="15" t="s">
        <v>275</v>
      </c>
      <c r="C32" s="19" t="s">
        <v>276</v>
      </c>
      <c r="D32" s="15" t="s">
        <v>277</v>
      </c>
      <c r="E32" s="15" t="s">
        <v>195</v>
      </c>
      <c r="F32" s="15" t="s">
        <v>278</v>
      </c>
    </row>
    <row r="34" customFormat="false" ht="15" hidden="false" customHeight="true" outlineLevel="0" collapsed="false">
      <c r="A34" s="20" t="s">
        <v>279</v>
      </c>
    </row>
    <row r="35" customFormat="false" ht="15" hidden="false" customHeight="true" outlineLevel="0" collapsed="false">
      <c r="A35" s="21" t="s">
        <v>280</v>
      </c>
      <c r="B35" s="22" t="n">
        <f aca="false">COUNTIF(C11:C32,"FACT")</f>
        <v>11</v>
      </c>
      <c r="C35" s="23" t="s">
        <v>281</v>
      </c>
    </row>
    <row r="36" customFormat="false" ht="15" hidden="false" customHeight="true" outlineLevel="0" collapsed="false">
      <c r="A36" s="21" t="s">
        <v>282</v>
      </c>
      <c r="B36" s="22" t="n">
        <f aca="false">COUNTIF(C11:C32,"CLAIM")</f>
        <v>10</v>
      </c>
      <c r="C36" s="23" t="s">
        <v>283</v>
      </c>
    </row>
    <row r="37" customFormat="false" ht="15" hidden="false" customHeight="true" outlineLevel="0" collapsed="false">
      <c r="A37" s="21" t="s">
        <v>284</v>
      </c>
      <c r="B37" s="22" t="n">
        <f aca="false">COUNTIF(C11:C32,"EVIDENCE")-1</f>
        <v>0</v>
      </c>
      <c r="C37" s="23" t="s">
        <v>285</v>
      </c>
    </row>
    <row r="38" customFormat="false" ht="15" hidden="false" customHeight="true" outlineLevel="0" collapsed="false">
      <c r="A38" s="21" t="s">
        <v>286</v>
      </c>
      <c r="B38" s="22" t="n">
        <f aca="false">COUNTIF(C11:C32,"FACT")/(COUNTIF(C11:C32,"FACT")+COUNTIF(C11:C32,"CLAIM"))</f>
        <v>0.523809523809524</v>
      </c>
      <c r="C38" s="23" t="s">
        <v>287</v>
      </c>
    </row>
    <row r="39" customFormat="false" ht="15" hidden="false" customHeight="true" outlineLevel="0" collapsed="false">
      <c r="A39" s="21" t="s">
        <v>288</v>
      </c>
      <c r="B39" s="22" t="s">
        <v>289</v>
      </c>
      <c r="C39" s="23" t="s">
        <v>290</v>
      </c>
    </row>
    <row r="40" customFormat="false" ht="15" hidden="false" customHeight="true" outlineLevel="0" collapsed="false">
      <c r="A40" s="21" t="s">
        <v>291</v>
      </c>
      <c r="B40" s="22" t="s">
        <v>292</v>
      </c>
      <c r="C40" s="23" t="s">
        <v>293</v>
      </c>
    </row>
  </sheetData>
  <mergeCells count="7">
    <mergeCell ref="A1:H1"/>
    <mergeCell ref="A2:H2"/>
    <mergeCell ref="A4:H4"/>
    <mergeCell ref="A5:H5"/>
    <mergeCell ref="A6:H6"/>
    <mergeCell ref="A7:H7"/>
    <mergeCell ref="A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400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2"/>
    <col collapsed="false" customWidth="true" hidden="false" outlineLevel="0" max="3" min="3" style="1" width="12"/>
    <col collapsed="false" customWidth="true" hidden="false" outlineLevel="0" max="4" min="4" style="1" width="48"/>
    <col collapsed="false" customWidth="true" hidden="false" outlineLevel="0" max="5" min="5" style="1" width="22"/>
    <col collapsed="false" customWidth="true" hidden="false" outlineLevel="0" max="6" min="6" style="1" width="26"/>
  </cols>
  <sheetData>
    <row r="1" customFormat="false" ht="30" hidden="false" customHeight="true" outlineLevel="0" collapsed="false">
      <c r="A1" s="8" t="s">
        <v>294</v>
      </c>
      <c r="B1" s="8"/>
      <c r="C1" s="8"/>
      <c r="D1" s="8"/>
      <c r="E1" s="8"/>
      <c r="F1" s="8"/>
      <c r="G1" s="8"/>
      <c r="H1" s="8"/>
    </row>
    <row r="2" customFormat="false" ht="18" hidden="false" customHeight="true" outlineLevel="0" collapsed="false">
      <c r="A2" s="3" t="s">
        <v>179</v>
      </c>
      <c r="B2" s="3"/>
      <c r="C2" s="3"/>
      <c r="D2" s="3"/>
      <c r="E2" s="3"/>
      <c r="F2" s="3"/>
      <c r="G2" s="3"/>
      <c r="H2" s="3"/>
    </row>
    <row r="4" customFormat="false" ht="15.75" hidden="false" customHeight="true" outlineLevel="0" collapsed="false">
      <c r="A4" s="9" t="s">
        <v>295</v>
      </c>
      <c r="B4" s="9"/>
      <c r="C4" s="9"/>
      <c r="D4" s="9"/>
      <c r="E4" s="9"/>
      <c r="F4" s="9"/>
      <c r="G4" s="9"/>
      <c r="H4" s="9"/>
    </row>
    <row r="5" customFormat="false" ht="15.75" hidden="false" customHeight="true" outlineLevel="0" collapsed="false">
      <c r="A5" s="9" t="s">
        <v>296</v>
      </c>
      <c r="B5" s="9"/>
      <c r="C5" s="9"/>
      <c r="D5" s="9"/>
      <c r="E5" s="9"/>
      <c r="F5" s="9"/>
      <c r="G5" s="9"/>
      <c r="H5" s="9"/>
    </row>
    <row r="6" customFormat="false" ht="15.75" hidden="false" customHeight="true" outlineLevel="0" collapsed="false">
      <c r="A6" s="9" t="s">
        <v>297</v>
      </c>
      <c r="B6" s="9"/>
      <c r="C6" s="9"/>
      <c r="D6" s="9"/>
      <c r="E6" s="9"/>
      <c r="F6" s="9"/>
      <c r="G6" s="9"/>
      <c r="H6" s="9"/>
    </row>
    <row r="7" customFormat="false" ht="15.75" hidden="false" customHeight="true" outlineLevel="0" collapsed="false">
      <c r="A7" s="9" t="s">
        <v>298</v>
      </c>
      <c r="B7" s="9"/>
      <c r="C7" s="9"/>
      <c r="D7" s="9"/>
      <c r="E7" s="9"/>
      <c r="F7" s="9"/>
      <c r="G7" s="9"/>
      <c r="H7" s="9"/>
    </row>
    <row r="9" customFormat="false" ht="19.5" hidden="false" customHeight="true" outlineLevel="0" collapsed="false">
      <c r="A9" s="13" t="s">
        <v>184</v>
      </c>
      <c r="B9" s="13"/>
      <c r="C9" s="13"/>
      <c r="D9" s="13"/>
      <c r="E9" s="13"/>
      <c r="F9" s="13"/>
      <c r="G9" s="13"/>
      <c r="H9" s="13"/>
    </row>
    <row r="10" customFormat="false" ht="27.75" hidden="false" customHeight="true" outlineLevel="0" collapsed="false">
      <c r="A10" s="14" t="s">
        <v>185</v>
      </c>
      <c r="B10" s="14" t="s">
        <v>299</v>
      </c>
      <c r="C10" s="14" t="s">
        <v>187</v>
      </c>
      <c r="D10" s="14" t="s">
        <v>188</v>
      </c>
      <c r="E10" s="14" t="s">
        <v>300</v>
      </c>
      <c r="F10" s="14" t="s">
        <v>190</v>
      </c>
    </row>
    <row r="11" customFormat="false" ht="39.75" hidden="false" customHeight="true" outlineLevel="0" collapsed="false">
      <c r="A11" s="15" t="s">
        <v>301</v>
      </c>
      <c r="B11" s="15" t="s">
        <v>302</v>
      </c>
      <c r="C11" s="16" t="s">
        <v>193</v>
      </c>
      <c r="D11" s="15" t="s">
        <v>303</v>
      </c>
      <c r="E11" s="15"/>
      <c r="F11" s="15" t="s">
        <v>196</v>
      </c>
    </row>
    <row r="12" customFormat="false" ht="39.75" hidden="false" customHeight="true" outlineLevel="0" collapsed="false">
      <c r="A12" s="15" t="s">
        <v>304</v>
      </c>
      <c r="B12" s="15" t="s">
        <v>305</v>
      </c>
      <c r="C12" s="16" t="s">
        <v>193</v>
      </c>
      <c r="D12" s="15" t="s">
        <v>306</v>
      </c>
      <c r="E12" s="15"/>
      <c r="F12" s="15" t="s">
        <v>200</v>
      </c>
    </row>
    <row r="13" customFormat="false" ht="39.75" hidden="false" customHeight="true" outlineLevel="0" collapsed="false">
      <c r="A13" s="15" t="s">
        <v>307</v>
      </c>
      <c r="B13" s="15" t="s">
        <v>308</v>
      </c>
      <c r="C13" s="16" t="s">
        <v>193</v>
      </c>
      <c r="D13" s="15" t="s">
        <v>309</v>
      </c>
      <c r="E13" s="15"/>
      <c r="F13" s="15" t="s">
        <v>204</v>
      </c>
    </row>
    <row r="14" customFormat="false" ht="39.75" hidden="false" customHeight="true" outlineLevel="0" collapsed="false">
      <c r="A14" s="15" t="s">
        <v>310</v>
      </c>
      <c r="B14" s="15" t="s">
        <v>311</v>
      </c>
      <c r="C14" s="16" t="s">
        <v>193</v>
      </c>
      <c r="D14" s="15" t="s">
        <v>312</v>
      </c>
      <c r="E14" s="15"/>
      <c r="F14" s="15" t="s">
        <v>208</v>
      </c>
    </row>
    <row r="15" customFormat="false" ht="39.75" hidden="false" customHeight="true" outlineLevel="0" collapsed="false">
      <c r="A15" s="15" t="s">
        <v>313</v>
      </c>
      <c r="B15" s="15" t="s">
        <v>314</v>
      </c>
      <c r="C15" s="16" t="s">
        <v>193</v>
      </c>
      <c r="D15" s="15" t="s">
        <v>315</v>
      </c>
      <c r="E15" s="15"/>
      <c r="F15" s="15" t="s">
        <v>213</v>
      </c>
    </row>
    <row r="16" customFormat="false" ht="39.75" hidden="false" customHeight="true" outlineLevel="0" collapsed="false">
      <c r="A16" s="15" t="s">
        <v>316</v>
      </c>
      <c r="B16" s="15" t="s">
        <v>317</v>
      </c>
      <c r="C16" s="16" t="s">
        <v>193</v>
      </c>
      <c r="D16" s="15" t="s">
        <v>318</v>
      </c>
      <c r="E16" s="15"/>
      <c r="F16" s="15" t="s">
        <v>217</v>
      </c>
    </row>
    <row r="17" customFormat="false" ht="39.75" hidden="false" customHeight="true" outlineLevel="0" collapsed="false">
      <c r="A17" s="15" t="s">
        <v>319</v>
      </c>
      <c r="B17" s="15" t="s">
        <v>320</v>
      </c>
      <c r="C17" s="16" t="s">
        <v>193</v>
      </c>
      <c r="D17" s="15" t="s">
        <v>321</v>
      </c>
      <c r="E17" s="15"/>
      <c r="F17" s="15" t="s">
        <v>221</v>
      </c>
    </row>
    <row r="18" customFormat="false" ht="39.75" hidden="false" customHeight="true" outlineLevel="0" collapsed="false">
      <c r="A18" s="15" t="s">
        <v>322</v>
      </c>
      <c r="B18" s="15" t="s">
        <v>323</v>
      </c>
      <c r="C18" s="16" t="s">
        <v>193</v>
      </c>
      <c r="D18" s="15" t="s">
        <v>324</v>
      </c>
      <c r="E18" s="15"/>
      <c r="F18" s="15" t="s">
        <v>225</v>
      </c>
    </row>
    <row r="19" customFormat="false" ht="39.75" hidden="false" customHeight="true" outlineLevel="0" collapsed="false">
      <c r="A19" s="15" t="s">
        <v>325</v>
      </c>
      <c r="B19" s="15" t="s">
        <v>326</v>
      </c>
      <c r="C19" s="16" t="s">
        <v>193</v>
      </c>
      <c r="D19" s="15" t="s">
        <v>327</v>
      </c>
      <c r="E19" s="15"/>
      <c r="F19" s="15" t="s">
        <v>229</v>
      </c>
    </row>
    <row r="20" customFormat="false" ht="39.75" hidden="false" customHeight="true" outlineLevel="0" collapsed="false">
      <c r="A20" s="15" t="s">
        <v>328</v>
      </c>
      <c r="B20" s="15" t="s">
        <v>329</v>
      </c>
      <c r="C20" s="16" t="s">
        <v>193</v>
      </c>
      <c r="D20" s="15" t="s">
        <v>330</v>
      </c>
      <c r="E20" s="15"/>
      <c r="F20" s="15" t="s">
        <v>233</v>
      </c>
    </row>
    <row r="21" customFormat="false" ht="39.75" hidden="false" customHeight="true" outlineLevel="0" collapsed="false">
      <c r="A21" s="15" t="s">
        <v>331</v>
      </c>
      <c r="B21" s="15" t="s">
        <v>332</v>
      </c>
      <c r="C21" s="16" t="s">
        <v>193</v>
      </c>
      <c r="D21" s="15" t="s">
        <v>333</v>
      </c>
      <c r="E21" s="15"/>
      <c r="F21" s="15" t="s">
        <v>237</v>
      </c>
    </row>
    <row r="22" customFormat="false" ht="39.75" hidden="false" customHeight="true" outlineLevel="0" collapsed="false">
      <c r="A22" s="15" t="s">
        <v>334</v>
      </c>
      <c r="B22" s="15" t="s">
        <v>335</v>
      </c>
      <c r="C22" s="19" t="s">
        <v>276</v>
      </c>
      <c r="D22" s="15" t="s">
        <v>336</v>
      </c>
      <c r="E22" s="15" t="s">
        <v>337</v>
      </c>
      <c r="F22" s="15" t="s">
        <v>338</v>
      </c>
    </row>
    <row r="23" customFormat="false" ht="39.75" hidden="false" customHeight="true" outlineLevel="0" collapsed="false">
      <c r="A23" s="15" t="s">
        <v>339</v>
      </c>
      <c r="B23" s="15" t="s">
        <v>340</v>
      </c>
      <c r="C23" s="19" t="s">
        <v>276</v>
      </c>
      <c r="D23" s="15" t="s">
        <v>341</v>
      </c>
      <c r="E23" s="15" t="s">
        <v>342</v>
      </c>
      <c r="F23" s="15" t="s">
        <v>338</v>
      </c>
    </row>
    <row r="24" customFormat="false" ht="39.75" hidden="false" customHeight="true" outlineLevel="0" collapsed="false">
      <c r="A24" s="15" t="s">
        <v>343</v>
      </c>
      <c r="B24" s="15" t="s">
        <v>344</v>
      </c>
      <c r="C24" s="19" t="s">
        <v>276</v>
      </c>
      <c r="D24" s="15" t="s">
        <v>345</v>
      </c>
      <c r="E24" s="15" t="s">
        <v>346</v>
      </c>
      <c r="F24" s="15" t="s">
        <v>338</v>
      </c>
    </row>
    <row r="25" customFormat="false" ht="39.75" hidden="false" customHeight="true" outlineLevel="0" collapsed="false">
      <c r="A25" s="15" t="s">
        <v>347</v>
      </c>
      <c r="B25" s="15" t="s">
        <v>348</v>
      </c>
      <c r="C25" s="19" t="s">
        <v>276</v>
      </c>
      <c r="D25" s="15" t="s">
        <v>349</v>
      </c>
      <c r="E25" s="15" t="s">
        <v>350</v>
      </c>
      <c r="F25" s="15" t="s">
        <v>24</v>
      </c>
    </row>
    <row r="26" customFormat="false" ht="39.75" hidden="false" customHeight="true" outlineLevel="0" collapsed="false">
      <c r="A26" s="15" t="s">
        <v>351</v>
      </c>
      <c r="B26" s="15" t="s">
        <v>314</v>
      </c>
      <c r="C26" s="19" t="s">
        <v>276</v>
      </c>
      <c r="D26" s="15" t="s">
        <v>352</v>
      </c>
      <c r="E26" s="15" t="s">
        <v>350</v>
      </c>
      <c r="F26" s="15" t="s">
        <v>24</v>
      </c>
    </row>
    <row r="27" customFormat="false" ht="39.75" hidden="false" customHeight="true" outlineLevel="0" collapsed="false">
      <c r="A27" s="15" t="s">
        <v>353</v>
      </c>
      <c r="B27" s="15" t="s">
        <v>354</v>
      </c>
      <c r="C27" s="19" t="s">
        <v>276</v>
      </c>
      <c r="D27" s="15" t="s">
        <v>355</v>
      </c>
      <c r="E27" s="15" t="s">
        <v>356</v>
      </c>
      <c r="F27" s="15" t="s">
        <v>338</v>
      </c>
    </row>
    <row r="28" customFormat="false" ht="39.75" hidden="false" customHeight="true" outlineLevel="0" collapsed="false">
      <c r="A28" s="15" t="s">
        <v>357</v>
      </c>
      <c r="B28" s="15" t="s">
        <v>358</v>
      </c>
      <c r="C28" s="17" t="s">
        <v>240</v>
      </c>
      <c r="D28" s="15" t="s">
        <v>359</v>
      </c>
      <c r="E28" s="15"/>
      <c r="F28" s="15" t="s">
        <v>24</v>
      </c>
    </row>
    <row r="29" customFormat="false" ht="39.75" hidden="false" customHeight="true" outlineLevel="0" collapsed="false">
      <c r="A29" s="15" t="s">
        <v>360</v>
      </c>
      <c r="B29" s="15" t="s">
        <v>361</v>
      </c>
      <c r="C29" s="17" t="s">
        <v>240</v>
      </c>
      <c r="D29" s="15" t="s">
        <v>362</v>
      </c>
      <c r="E29" s="15"/>
      <c r="F29" s="15" t="s">
        <v>24</v>
      </c>
    </row>
    <row r="30" customFormat="false" ht="39.75" hidden="false" customHeight="true" outlineLevel="0" collapsed="false">
      <c r="A30" s="15" t="s">
        <v>363</v>
      </c>
      <c r="B30" s="15" t="s">
        <v>364</v>
      </c>
      <c r="C30" s="17" t="s">
        <v>240</v>
      </c>
      <c r="D30" s="15" t="s">
        <v>365</v>
      </c>
      <c r="E30" s="15"/>
      <c r="F30" s="15" t="s">
        <v>24</v>
      </c>
    </row>
    <row r="31" customFormat="false" ht="39.75" hidden="false" customHeight="true" outlineLevel="0" collapsed="false">
      <c r="A31" s="15" t="s">
        <v>366</v>
      </c>
      <c r="B31" s="15" t="s">
        <v>367</v>
      </c>
      <c r="C31" s="17" t="s">
        <v>240</v>
      </c>
      <c r="D31" s="15" t="s">
        <v>368</v>
      </c>
      <c r="E31" s="15"/>
      <c r="F31" s="15" t="s">
        <v>24</v>
      </c>
    </row>
    <row r="33" customFormat="false" ht="15" hidden="false" customHeight="true" outlineLevel="0" collapsed="false">
      <c r="A33" s="20" t="s">
        <v>279</v>
      </c>
    </row>
    <row r="34" customFormat="false" ht="15" hidden="false" customHeight="true" outlineLevel="0" collapsed="false">
      <c r="A34" s="21" t="s">
        <v>280</v>
      </c>
      <c r="B34" s="24" t="n">
        <f aca="false">COUNTIF(C11:C31,"FACT")</f>
        <v>11</v>
      </c>
      <c r="C34" s="23" t="s">
        <v>369</v>
      </c>
    </row>
    <row r="35" customFormat="false" ht="15" hidden="false" customHeight="true" outlineLevel="0" collapsed="false">
      <c r="A35" s="21" t="s">
        <v>282</v>
      </c>
      <c r="B35" s="24" t="n">
        <f aca="false">COUNTIF(C11:C31,"CLAIM")</f>
        <v>4</v>
      </c>
      <c r="C35" s="23" t="s">
        <v>370</v>
      </c>
    </row>
    <row r="36" customFormat="false" ht="15" hidden="false" customHeight="true" outlineLevel="0" collapsed="false">
      <c r="A36" s="21" t="s">
        <v>284</v>
      </c>
      <c r="B36" s="24" t="n">
        <f aca="false">COUNTIF(C11:C31,"EVIDENCE")</f>
        <v>6</v>
      </c>
      <c r="C36" s="23" t="s">
        <v>371</v>
      </c>
    </row>
    <row r="37" customFormat="false" ht="15" hidden="false" customHeight="true" outlineLevel="0" collapsed="false">
      <c r="A37" s="21" t="s">
        <v>286</v>
      </c>
      <c r="B37" s="24" t="n">
        <f aca="false">COUNTIF(C11:C31,"FACT")/(COUNTIF(C11:C31,"FACT")+COUNTIF(C11:C31,"CLAIM"))</f>
        <v>0.733333333333333</v>
      </c>
      <c r="C37" s="23" t="s">
        <v>372</v>
      </c>
    </row>
    <row r="38" customFormat="false" ht="15" hidden="false" customHeight="true" outlineLevel="0" collapsed="false">
      <c r="A38" s="21" t="s">
        <v>373</v>
      </c>
      <c r="B38" s="24" t="n">
        <f aca="false">COUNTIF(C11:C31,"EVIDENCE")/COUNTIF(C11:C31,"CLAIM")</f>
        <v>1.5</v>
      </c>
      <c r="C38" s="23" t="s">
        <v>374</v>
      </c>
    </row>
    <row r="39" customFormat="false" ht="15" hidden="false" customHeight="true" outlineLevel="0" collapsed="false">
      <c r="A39" s="21" t="s">
        <v>288</v>
      </c>
      <c r="B39" s="24" t="s">
        <v>375</v>
      </c>
      <c r="C39" s="23" t="s">
        <v>376</v>
      </c>
    </row>
    <row r="40" customFormat="false" ht="15" hidden="false" customHeight="true" outlineLevel="0" collapsed="false">
      <c r="A40" s="21" t="s">
        <v>291</v>
      </c>
      <c r="B40" s="24" t="s">
        <v>377</v>
      </c>
      <c r="C40" s="23" t="s">
        <v>378</v>
      </c>
    </row>
  </sheetData>
  <mergeCells count="7">
    <mergeCell ref="A1:H1"/>
    <mergeCell ref="A2:H2"/>
    <mergeCell ref="A4:H4"/>
    <mergeCell ref="A5:H5"/>
    <mergeCell ref="A6:H6"/>
    <mergeCell ref="A7:H7"/>
    <mergeCell ref="A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5F"/>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3" min="3" style="1" width="60"/>
    <col collapsed="false" customWidth="true" hidden="false" outlineLevel="0" max="4" min="4" style="1" width="36"/>
    <col collapsed="false" customWidth="true" hidden="false" outlineLevel="0" max="5" min="5" style="1" width="40"/>
  </cols>
  <sheetData>
    <row r="1" customFormat="false" ht="30" hidden="false" customHeight="true" outlineLevel="0" collapsed="false">
      <c r="A1" s="8" t="s">
        <v>379</v>
      </c>
      <c r="B1" s="8"/>
      <c r="C1" s="8"/>
      <c r="D1" s="8"/>
      <c r="E1" s="8"/>
      <c r="F1" s="8"/>
      <c r="G1" s="8"/>
    </row>
    <row r="2" customFormat="false" ht="18" hidden="false" customHeight="true" outlineLevel="0" collapsed="false">
      <c r="A2" s="3" t="s">
        <v>380</v>
      </c>
      <c r="B2" s="3"/>
      <c r="C2" s="3"/>
      <c r="D2" s="3"/>
      <c r="E2" s="3"/>
      <c r="F2" s="3"/>
      <c r="G2" s="3"/>
    </row>
    <row r="4" customFormat="false" ht="15.75" hidden="false" customHeight="true" outlineLevel="0" collapsed="false">
      <c r="A4" s="9" t="s">
        <v>381</v>
      </c>
      <c r="B4" s="9"/>
      <c r="C4" s="9"/>
      <c r="D4" s="9"/>
      <c r="E4" s="9"/>
      <c r="F4" s="9"/>
      <c r="G4" s="9"/>
    </row>
    <row r="5" customFormat="false" ht="15.75" hidden="false" customHeight="true" outlineLevel="0" collapsed="false">
      <c r="A5" s="9" t="s">
        <v>382</v>
      </c>
      <c r="B5" s="9"/>
      <c r="C5" s="9"/>
      <c r="D5" s="9"/>
      <c r="E5" s="9"/>
      <c r="F5" s="9"/>
      <c r="G5" s="9"/>
    </row>
    <row r="6" customFormat="false" ht="15.75" hidden="false" customHeight="true" outlineLevel="0" collapsed="false">
      <c r="A6" s="9" t="s">
        <v>383</v>
      </c>
      <c r="B6" s="9"/>
      <c r="C6" s="9"/>
      <c r="D6" s="9"/>
      <c r="E6" s="9"/>
      <c r="F6" s="9"/>
      <c r="G6" s="9"/>
    </row>
    <row r="8" customFormat="false" ht="27.75" hidden="false" customHeight="true" outlineLevel="0" collapsed="false">
      <c r="A8" s="11" t="s">
        <v>384</v>
      </c>
      <c r="B8" s="11" t="s">
        <v>385</v>
      </c>
      <c r="C8" s="11" t="s">
        <v>386</v>
      </c>
      <c r="D8" s="11" t="s">
        <v>11</v>
      </c>
      <c r="E8" s="11" t="s">
        <v>387</v>
      </c>
    </row>
    <row r="9" customFormat="false" ht="55.5" hidden="false" customHeight="true" outlineLevel="0" collapsed="false">
      <c r="A9" s="6" t="s">
        <v>388</v>
      </c>
      <c r="B9" s="6" t="s">
        <v>389</v>
      </c>
      <c r="C9" s="6" t="s">
        <v>390</v>
      </c>
      <c r="D9" s="6" t="s">
        <v>391</v>
      </c>
      <c r="E9" s="6"/>
    </row>
    <row r="10" customFormat="false" ht="55.5" hidden="false" customHeight="true" outlineLevel="0" collapsed="false">
      <c r="A10" s="7" t="s">
        <v>392</v>
      </c>
      <c r="B10" s="7" t="s">
        <v>393</v>
      </c>
      <c r="C10" s="7" t="s">
        <v>394</v>
      </c>
      <c r="D10" s="7" t="s">
        <v>395</v>
      </c>
      <c r="E10" s="7" t="s">
        <v>396</v>
      </c>
    </row>
    <row r="11" customFormat="false" ht="55.5" hidden="false" customHeight="true" outlineLevel="0" collapsed="false">
      <c r="A11" s="6" t="s">
        <v>392</v>
      </c>
      <c r="B11" s="6" t="s">
        <v>397</v>
      </c>
      <c r="C11" s="6" t="s">
        <v>398</v>
      </c>
      <c r="D11" s="6" t="s">
        <v>399</v>
      </c>
      <c r="E11" s="6"/>
    </row>
    <row r="12" customFormat="false" ht="55.5" hidden="false" customHeight="true" outlineLevel="0" collapsed="false">
      <c r="A12" s="7" t="s">
        <v>392</v>
      </c>
      <c r="B12" s="7" t="s">
        <v>400</v>
      </c>
      <c r="C12" s="7" t="s">
        <v>401</v>
      </c>
      <c r="D12" s="7" t="s">
        <v>402</v>
      </c>
      <c r="E12" s="7" t="s">
        <v>403</v>
      </c>
    </row>
    <row r="13" customFormat="false" ht="55.5" hidden="false" customHeight="true" outlineLevel="0" collapsed="false">
      <c r="A13" s="6" t="s">
        <v>404</v>
      </c>
      <c r="B13" s="6" t="s">
        <v>405</v>
      </c>
      <c r="C13" s="6" t="s">
        <v>406</v>
      </c>
      <c r="D13" s="6" t="s">
        <v>407</v>
      </c>
      <c r="E13" s="6" t="s">
        <v>408</v>
      </c>
    </row>
    <row r="14" customFormat="false" ht="55.5" hidden="false" customHeight="true" outlineLevel="0" collapsed="false">
      <c r="A14" s="7" t="s">
        <v>409</v>
      </c>
      <c r="B14" s="7" t="s">
        <v>410</v>
      </c>
      <c r="C14" s="7" t="s">
        <v>411</v>
      </c>
      <c r="D14" s="7" t="s">
        <v>412</v>
      </c>
      <c r="E14" s="7" t="s">
        <v>413</v>
      </c>
    </row>
    <row r="15" customFormat="false" ht="55.5" hidden="false" customHeight="true" outlineLevel="0" collapsed="false">
      <c r="A15" s="6" t="s">
        <v>414</v>
      </c>
      <c r="B15" s="6" t="s">
        <v>415</v>
      </c>
      <c r="C15" s="6" t="s">
        <v>416</v>
      </c>
      <c r="D15" s="6" t="s">
        <v>417</v>
      </c>
      <c r="E15" s="6" t="s">
        <v>418</v>
      </c>
    </row>
    <row r="16" customFormat="false" ht="55.5" hidden="false" customHeight="true" outlineLevel="0" collapsed="false">
      <c r="A16" s="7" t="s">
        <v>419</v>
      </c>
      <c r="B16" s="7" t="s">
        <v>420</v>
      </c>
      <c r="C16" s="7" t="s">
        <v>421</v>
      </c>
      <c r="D16" s="7" t="s">
        <v>422</v>
      </c>
      <c r="E16" s="7" t="s">
        <v>423</v>
      </c>
    </row>
    <row r="17" customFormat="false" ht="55.5" hidden="false" customHeight="true" outlineLevel="0" collapsed="false">
      <c r="A17" s="6" t="s">
        <v>424</v>
      </c>
      <c r="B17" s="6" t="s">
        <v>425</v>
      </c>
      <c r="C17" s="6" t="s">
        <v>426</v>
      </c>
      <c r="D17" s="6" t="s">
        <v>427</v>
      </c>
      <c r="E17" s="6"/>
    </row>
    <row r="18" customFormat="false" ht="55.5" hidden="false" customHeight="true" outlineLevel="0" collapsed="false">
      <c r="A18" s="7" t="s">
        <v>424</v>
      </c>
      <c r="B18" s="7" t="s">
        <v>428</v>
      </c>
      <c r="C18" s="7" t="s">
        <v>429</v>
      </c>
      <c r="D18" s="7" t="s">
        <v>430</v>
      </c>
      <c r="E18" s="7"/>
    </row>
  </sheetData>
  <mergeCells count="5">
    <mergeCell ref="A1:G1"/>
    <mergeCell ref="A2:G2"/>
    <mergeCell ref="A4:G4"/>
    <mergeCell ref="A5:G5"/>
    <mergeCell ref="A6:G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5F"/>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1"/>
    <col collapsed="false" customWidth="true" hidden="false" outlineLevel="0" max="4" min="4" style="1" width="10"/>
    <col collapsed="false" customWidth="true" hidden="false" outlineLevel="0" max="5" min="5" style="1" width="14"/>
    <col collapsed="false" customWidth="true" hidden="false" outlineLevel="0" max="6" min="6" style="1" width="22"/>
    <col collapsed="false" customWidth="true" hidden="false" outlineLevel="0" max="7" min="7" style="1" width="32"/>
    <col collapsed="false" customWidth="true" hidden="false" outlineLevel="0" max="8" min="8" style="1" width="14"/>
    <col collapsed="false" customWidth="true" hidden="false" outlineLevel="0" max="9" min="9" style="1" width="22"/>
    <col collapsed="false" customWidth="true" hidden="false" outlineLevel="0" max="10" min="10" style="1" width="24"/>
  </cols>
  <sheetData>
    <row r="1" customFormat="false" ht="30" hidden="false" customHeight="true" outlineLevel="0" collapsed="false">
      <c r="A1" s="8" t="s">
        <v>431</v>
      </c>
      <c r="B1" s="8"/>
      <c r="C1" s="8"/>
      <c r="D1" s="8"/>
      <c r="E1" s="8"/>
      <c r="F1" s="8"/>
      <c r="G1" s="8"/>
      <c r="H1" s="8"/>
    </row>
    <row r="2" customFormat="false" ht="18" hidden="false" customHeight="true" outlineLevel="0" collapsed="false">
      <c r="A2" s="3" t="s">
        <v>432</v>
      </c>
      <c r="B2" s="3"/>
      <c r="C2" s="3"/>
      <c r="D2" s="3"/>
      <c r="E2" s="3"/>
      <c r="F2" s="3"/>
      <c r="G2" s="3"/>
      <c r="H2" s="3"/>
    </row>
    <row r="4" customFormat="false" ht="15.75" hidden="false" customHeight="true" outlineLevel="0" collapsed="false">
      <c r="A4" s="9" t="s">
        <v>433</v>
      </c>
      <c r="B4" s="9"/>
      <c r="C4" s="9"/>
      <c r="D4" s="9"/>
      <c r="E4" s="9"/>
      <c r="F4" s="9"/>
      <c r="G4" s="9"/>
      <c r="H4" s="9"/>
    </row>
    <row r="5" customFormat="false" ht="15.75" hidden="false" customHeight="true" outlineLevel="0" collapsed="false">
      <c r="A5" s="9" t="s">
        <v>434</v>
      </c>
      <c r="B5" s="9"/>
      <c r="C5" s="9"/>
      <c r="D5" s="9"/>
      <c r="E5" s="9"/>
      <c r="F5" s="9"/>
      <c r="G5" s="9"/>
      <c r="H5" s="9"/>
    </row>
    <row r="6" customFormat="false" ht="15.75" hidden="false" customHeight="true" outlineLevel="0" collapsed="false">
      <c r="A6" s="9" t="s">
        <v>435</v>
      </c>
      <c r="B6" s="9"/>
      <c r="C6" s="9"/>
      <c r="D6" s="9"/>
      <c r="E6" s="9"/>
      <c r="F6" s="9"/>
      <c r="G6" s="9"/>
      <c r="H6" s="9"/>
    </row>
    <row r="8" customFormat="false" ht="27.75" hidden="false" customHeight="true" outlineLevel="0" collapsed="false">
      <c r="A8" s="11" t="s">
        <v>436</v>
      </c>
      <c r="B8" s="11" t="s">
        <v>437</v>
      </c>
      <c r="C8" s="11" t="s">
        <v>438</v>
      </c>
      <c r="D8" s="11" t="s">
        <v>439</v>
      </c>
      <c r="E8" s="11" t="s">
        <v>440</v>
      </c>
      <c r="F8" s="11" t="s">
        <v>441</v>
      </c>
      <c r="G8" s="11" t="s">
        <v>442</v>
      </c>
      <c r="H8" s="11" t="s">
        <v>443</v>
      </c>
      <c r="I8" s="11" t="s">
        <v>444</v>
      </c>
      <c r="J8" s="11" t="s">
        <v>445</v>
      </c>
    </row>
    <row r="9" customFormat="false" ht="27.75" hidden="false" customHeight="true" outlineLevel="0" collapsed="false">
      <c r="A9" s="6" t="s">
        <v>446</v>
      </c>
      <c r="B9" s="6" t="s">
        <v>447</v>
      </c>
      <c r="C9" s="6" t="s">
        <v>448</v>
      </c>
      <c r="D9" s="6" t="s">
        <v>449</v>
      </c>
      <c r="E9" s="6" t="s">
        <v>450</v>
      </c>
      <c r="F9" s="6" t="s">
        <v>451</v>
      </c>
      <c r="G9" s="6" t="s">
        <v>452</v>
      </c>
      <c r="H9" s="6" t="s">
        <v>453</v>
      </c>
      <c r="I9" s="6" t="s">
        <v>454</v>
      </c>
      <c r="J9" s="6" t="s">
        <v>36</v>
      </c>
    </row>
    <row r="10" customFormat="false" ht="27.75" hidden="false" customHeight="true" outlineLevel="0" collapsed="false">
      <c r="A10" s="7" t="s">
        <v>455</v>
      </c>
      <c r="B10" s="7" t="s">
        <v>447</v>
      </c>
      <c r="C10" s="7" t="s">
        <v>456</v>
      </c>
      <c r="D10" s="7" t="s">
        <v>457</v>
      </c>
      <c r="E10" s="7" t="s">
        <v>458</v>
      </c>
      <c r="F10" s="7" t="s">
        <v>451</v>
      </c>
      <c r="G10" s="7" t="s">
        <v>452</v>
      </c>
      <c r="H10" s="7" t="s">
        <v>453</v>
      </c>
      <c r="I10" s="7" t="s">
        <v>454</v>
      </c>
      <c r="J10" s="7" t="s">
        <v>40</v>
      </c>
    </row>
    <row r="11" customFormat="false" ht="27.75" hidden="false" customHeight="true" outlineLevel="0" collapsed="false">
      <c r="A11" s="6" t="s">
        <v>459</v>
      </c>
      <c r="B11" s="6" t="s">
        <v>447</v>
      </c>
      <c r="C11" s="6" t="s">
        <v>460</v>
      </c>
      <c r="D11" s="6" t="s">
        <v>461</v>
      </c>
      <c r="E11" s="6" t="s">
        <v>462</v>
      </c>
      <c r="F11" s="6" t="s">
        <v>451</v>
      </c>
      <c r="G11" s="6" t="s">
        <v>452</v>
      </c>
      <c r="H11" s="6" t="s">
        <v>453</v>
      </c>
      <c r="I11" s="6" t="s">
        <v>454</v>
      </c>
      <c r="J11" s="6" t="s">
        <v>42</v>
      </c>
    </row>
    <row r="12" customFormat="false" ht="27.75" hidden="false" customHeight="true" outlineLevel="0" collapsed="false">
      <c r="A12" s="7" t="s">
        <v>463</v>
      </c>
      <c r="B12" s="7" t="s">
        <v>447</v>
      </c>
      <c r="C12" s="7" t="s">
        <v>464</v>
      </c>
      <c r="D12" s="7" t="s">
        <v>449</v>
      </c>
      <c r="E12" s="7" t="s">
        <v>450</v>
      </c>
      <c r="F12" s="7" t="s">
        <v>465</v>
      </c>
      <c r="G12" s="7" t="s">
        <v>466</v>
      </c>
      <c r="H12" s="7" t="s">
        <v>453</v>
      </c>
      <c r="I12" s="7" t="s">
        <v>454</v>
      </c>
      <c r="J12" s="7" t="s">
        <v>44</v>
      </c>
    </row>
    <row r="13" customFormat="false" ht="27.75" hidden="false" customHeight="true" outlineLevel="0" collapsed="false">
      <c r="A13" s="6" t="s">
        <v>467</v>
      </c>
      <c r="B13" s="6" t="s">
        <v>447</v>
      </c>
      <c r="C13" s="6" t="s">
        <v>468</v>
      </c>
      <c r="D13" s="6" t="s">
        <v>457</v>
      </c>
      <c r="E13" s="6" t="s">
        <v>458</v>
      </c>
      <c r="F13" s="6" t="s">
        <v>465</v>
      </c>
      <c r="G13" s="6" t="s">
        <v>466</v>
      </c>
      <c r="H13" s="6" t="s">
        <v>453</v>
      </c>
      <c r="I13" s="6" t="s">
        <v>454</v>
      </c>
      <c r="J13" s="6" t="s">
        <v>47</v>
      </c>
    </row>
    <row r="14" customFormat="false" ht="27.75" hidden="false" customHeight="true" outlineLevel="0" collapsed="false">
      <c r="A14" s="7" t="s">
        <v>469</v>
      </c>
      <c r="B14" s="7" t="s">
        <v>447</v>
      </c>
      <c r="C14" s="7" t="s">
        <v>470</v>
      </c>
      <c r="D14" s="7" t="s">
        <v>461</v>
      </c>
      <c r="E14" s="7" t="s">
        <v>462</v>
      </c>
      <c r="F14" s="7" t="s">
        <v>465</v>
      </c>
      <c r="G14" s="7" t="s">
        <v>466</v>
      </c>
      <c r="H14" s="7" t="s">
        <v>453</v>
      </c>
      <c r="I14" s="7" t="s">
        <v>454</v>
      </c>
      <c r="J14" s="7" t="s">
        <v>49</v>
      </c>
    </row>
    <row r="17" customFormat="false" ht="15" hidden="false" customHeight="true" outlineLevel="0" collapsed="false">
      <c r="A17" s="10" t="s">
        <v>471</v>
      </c>
    </row>
    <row r="18" customFormat="false" ht="15" hidden="false" customHeight="true" outlineLevel="0" collapsed="false">
      <c r="A18" s="25" t="s">
        <v>472</v>
      </c>
      <c r="B18" s="25"/>
      <c r="C18" s="25"/>
      <c r="D18" s="25"/>
      <c r="E18" s="25"/>
      <c r="F18" s="25"/>
      <c r="G18" s="25"/>
      <c r="H18" s="25"/>
      <c r="I18" s="25"/>
      <c r="J18" s="25"/>
    </row>
    <row r="19" customFormat="false" ht="15" hidden="false" customHeight="true" outlineLevel="0" collapsed="false">
      <c r="A19" s="25" t="s">
        <v>473</v>
      </c>
      <c r="B19" s="25"/>
      <c r="C19" s="25"/>
      <c r="D19" s="25"/>
      <c r="E19" s="25"/>
      <c r="F19" s="25"/>
      <c r="G19" s="25"/>
      <c r="H19" s="25"/>
      <c r="I19" s="25"/>
      <c r="J19" s="25"/>
    </row>
    <row r="20" customFormat="false" ht="15" hidden="false" customHeight="true" outlineLevel="0" collapsed="false">
      <c r="A20" s="25" t="s">
        <v>474</v>
      </c>
      <c r="B20" s="25"/>
      <c r="C20" s="25"/>
      <c r="D20" s="25"/>
      <c r="E20" s="25"/>
      <c r="F20" s="25"/>
      <c r="G20" s="25"/>
      <c r="H20" s="25"/>
      <c r="I20" s="25"/>
      <c r="J20" s="25"/>
    </row>
    <row r="21" customFormat="false" ht="15" hidden="false" customHeight="true" outlineLevel="0" collapsed="false">
      <c r="A21" s="25" t="s">
        <v>475</v>
      </c>
      <c r="B21" s="25"/>
      <c r="C21" s="25"/>
      <c r="D21" s="25"/>
      <c r="E21" s="25"/>
      <c r="F21" s="25"/>
      <c r="G21" s="25"/>
      <c r="H21" s="25"/>
      <c r="I21" s="25"/>
      <c r="J21" s="25"/>
    </row>
    <row r="22" customFormat="false" ht="15" hidden="false" customHeight="true" outlineLevel="0" collapsed="false">
      <c r="A22" s="25" t="s">
        <v>476</v>
      </c>
      <c r="B22" s="25"/>
      <c r="C22" s="25"/>
      <c r="D22" s="25"/>
      <c r="E22" s="25"/>
      <c r="F22" s="25"/>
      <c r="G22" s="25"/>
      <c r="H22" s="25"/>
      <c r="I22" s="25"/>
      <c r="J22" s="25"/>
    </row>
  </sheetData>
  <mergeCells count="10">
    <mergeCell ref="A1:H1"/>
    <mergeCell ref="A2:H2"/>
    <mergeCell ref="A4:H4"/>
    <mergeCell ref="A5:H5"/>
    <mergeCell ref="A6:H6"/>
    <mergeCell ref="A18:J18"/>
    <mergeCell ref="A19:J19"/>
    <mergeCell ref="A20:J20"/>
    <mergeCell ref="A21:J21"/>
    <mergeCell ref="A22:J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5F3A"/>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2"/>
    <col collapsed="false" customWidth="true" hidden="false" outlineLevel="0" max="5" min="3" style="1" width="12"/>
    <col collapsed="false" customWidth="true" hidden="false" outlineLevel="0" max="6" min="6" style="1" width="40"/>
    <col collapsed="false" customWidth="true" hidden="false" outlineLevel="0" max="7" min="7" style="1" width="16"/>
    <col collapsed="false" customWidth="true" hidden="false" outlineLevel="0" max="8" min="8" style="1" width="24"/>
  </cols>
  <sheetData>
    <row r="1" customFormat="false" ht="27.75" hidden="false" customHeight="true" outlineLevel="0" collapsed="false">
      <c r="A1" s="26" t="s">
        <v>477</v>
      </c>
      <c r="B1" s="26"/>
      <c r="C1" s="26"/>
      <c r="D1" s="26"/>
      <c r="E1" s="26"/>
      <c r="F1" s="26"/>
      <c r="G1" s="26"/>
      <c r="H1" s="26"/>
    </row>
    <row r="2" customFormat="false" ht="15.75" hidden="false" customHeight="true" outlineLevel="0" collapsed="false">
      <c r="A2" s="27" t="s">
        <v>478</v>
      </c>
      <c r="B2" s="27"/>
      <c r="C2" s="27"/>
      <c r="D2" s="27"/>
      <c r="E2" s="27"/>
      <c r="F2" s="27"/>
      <c r="G2" s="27"/>
      <c r="H2" s="27"/>
    </row>
    <row r="3" customFormat="false" ht="19.5" hidden="false" customHeight="true" outlineLevel="0" collapsed="false">
      <c r="A3" s="28" t="s">
        <v>479</v>
      </c>
      <c r="B3" s="28"/>
      <c r="C3" s="28"/>
      <c r="D3" s="28"/>
      <c r="E3" s="28"/>
      <c r="F3" s="28"/>
      <c r="G3" s="28"/>
      <c r="H3" s="28"/>
    </row>
    <row r="4" customFormat="false" ht="27.75" hidden="false" customHeight="true" outlineLevel="0" collapsed="false">
      <c r="A4" s="29" t="s">
        <v>185</v>
      </c>
      <c r="B4" s="29" t="s">
        <v>480</v>
      </c>
      <c r="C4" s="29" t="s">
        <v>481</v>
      </c>
      <c r="D4" s="29" t="s">
        <v>482</v>
      </c>
      <c r="E4" s="29" t="s">
        <v>483</v>
      </c>
      <c r="F4" s="29" t="s">
        <v>484</v>
      </c>
      <c r="G4" s="29" t="s">
        <v>485</v>
      </c>
      <c r="H4" s="29" t="s">
        <v>486</v>
      </c>
    </row>
    <row r="5" customFormat="false" ht="39.75" hidden="false" customHeight="true" outlineLevel="0" collapsed="false">
      <c r="A5" s="6" t="s">
        <v>191</v>
      </c>
      <c r="B5" s="6" t="s">
        <v>487</v>
      </c>
      <c r="C5" s="16" t="s">
        <v>193</v>
      </c>
      <c r="D5" s="30" t="s">
        <v>193</v>
      </c>
      <c r="E5" s="6" t="str">
        <f aca="false">IF(C5=D5,"YES","NO")</f>
        <v>YES</v>
      </c>
      <c r="F5" s="6" t="s">
        <v>488</v>
      </c>
      <c r="G5" s="6"/>
      <c r="H5" s="6" t="s">
        <v>489</v>
      </c>
    </row>
    <row r="6" customFormat="false" ht="39.75" hidden="false" customHeight="true" outlineLevel="0" collapsed="false">
      <c r="A6" s="6" t="s">
        <v>197</v>
      </c>
      <c r="B6" s="6" t="s">
        <v>198</v>
      </c>
      <c r="C6" s="16" t="s">
        <v>193</v>
      </c>
      <c r="D6" s="30" t="s">
        <v>193</v>
      </c>
      <c r="E6" s="6" t="str">
        <f aca="false">IF(C6=D6,"YES","NO")</f>
        <v>YES</v>
      </c>
      <c r="F6" s="6" t="s">
        <v>488</v>
      </c>
      <c r="G6" s="6"/>
      <c r="H6" s="6" t="s">
        <v>489</v>
      </c>
    </row>
    <row r="7" customFormat="false" ht="39.75" hidden="false" customHeight="true" outlineLevel="0" collapsed="false">
      <c r="A7" s="6" t="s">
        <v>201</v>
      </c>
      <c r="B7" s="6" t="s">
        <v>202</v>
      </c>
      <c r="C7" s="16" t="s">
        <v>193</v>
      </c>
      <c r="D7" s="30" t="s">
        <v>193</v>
      </c>
      <c r="E7" s="6" t="str">
        <f aca="false">IF(C7=D7,"YES","NO")</f>
        <v>YES</v>
      </c>
      <c r="F7" s="6" t="s">
        <v>488</v>
      </c>
      <c r="G7" s="6"/>
      <c r="H7" s="6" t="s">
        <v>489</v>
      </c>
    </row>
    <row r="8" customFormat="false" ht="39.75" hidden="false" customHeight="true" outlineLevel="0" collapsed="false">
      <c r="A8" s="6" t="s">
        <v>205</v>
      </c>
      <c r="B8" s="6" t="s">
        <v>206</v>
      </c>
      <c r="C8" s="16" t="s">
        <v>193</v>
      </c>
      <c r="D8" s="30" t="s">
        <v>193</v>
      </c>
      <c r="E8" s="6" t="str">
        <f aca="false">IF(C8=D8,"YES","NO")</f>
        <v>YES</v>
      </c>
      <c r="F8" s="6" t="s">
        <v>488</v>
      </c>
      <c r="G8" s="6"/>
      <c r="H8" s="6" t="s">
        <v>489</v>
      </c>
    </row>
    <row r="9" customFormat="false" ht="39.75" hidden="false" customHeight="true" outlineLevel="0" collapsed="false">
      <c r="A9" s="6" t="s">
        <v>209</v>
      </c>
      <c r="B9" s="6" t="s">
        <v>210</v>
      </c>
      <c r="C9" s="16" t="s">
        <v>193</v>
      </c>
      <c r="D9" s="30" t="s">
        <v>193</v>
      </c>
      <c r="E9" s="6" t="str">
        <f aca="false">IF(C9=D9,"YES","NO")</f>
        <v>YES</v>
      </c>
      <c r="F9" s="6" t="s">
        <v>488</v>
      </c>
      <c r="G9" s="6"/>
      <c r="H9" s="6" t="s">
        <v>489</v>
      </c>
    </row>
    <row r="10" customFormat="false" ht="39.75" hidden="false" customHeight="true" outlineLevel="0" collapsed="false">
      <c r="A10" s="6" t="s">
        <v>214</v>
      </c>
      <c r="B10" s="6" t="s">
        <v>215</v>
      </c>
      <c r="C10" s="16" t="s">
        <v>193</v>
      </c>
      <c r="D10" s="30" t="s">
        <v>193</v>
      </c>
      <c r="E10" s="6" t="str">
        <f aca="false">IF(C10=D10,"YES","NO")</f>
        <v>YES</v>
      </c>
      <c r="F10" s="6" t="s">
        <v>488</v>
      </c>
      <c r="G10" s="6"/>
      <c r="H10" s="6" t="s">
        <v>489</v>
      </c>
    </row>
    <row r="11" customFormat="false" ht="39.75" hidden="false" customHeight="true" outlineLevel="0" collapsed="false">
      <c r="A11" s="6" t="s">
        <v>218</v>
      </c>
      <c r="B11" s="6" t="s">
        <v>219</v>
      </c>
      <c r="C11" s="16" t="s">
        <v>193</v>
      </c>
      <c r="D11" s="30" t="s">
        <v>193</v>
      </c>
      <c r="E11" s="6" t="str">
        <f aca="false">IF(C11=D11,"YES","NO")</f>
        <v>YES</v>
      </c>
      <c r="F11" s="6" t="s">
        <v>488</v>
      </c>
      <c r="G11" s="6"/>
      <c r="H11" s="6" t="s">
        <v>489</v>
      </c>
    </row>
    <row r="12" customFormat="false" ht="39.75" hidden="false" customHeight="true" outlineLevel="0" collapsed="false">
      <c r="A12" s="6" t="s">
        <v>490</v>
      </c>
      <c r="B12" s="6" t="s">
        <v>491</v>
      </c>
      <c r="C12" s="16" t="s">
        <v>193</v>
      </c>
      <c r="D12" s="30" t="s">
        <v>193</v>
      </c>
      <c r="E12" s="6" t="str">
        <f aca="false">IF(C12=D12,"YES","NO")</f>
        <v>YES</v>
      </c>
      <c r="F12" s="6" t="s">
        <v>492</v>
      </c>
      <c r="G12" s="6"/>
      <c r="H12" s="6" t="s">
        <v>489</v>
      </c>
    </row>
    <row r="13" customFormat="false" ht="39.75" hidden="false" customHeight="true" outlineLevel="0" collapsed="false">
      <c r="A13" s="6" t="s">
        <v>222</v>
      </c>
      <c r="B13" s="6" t="s">
        <v>223</v>
      </c>
      <c r="C13" s="16" t="s">
        <v>193</v>
      </c>
      <c r="D13" s="30" t="s">
        <v>193</v>
      </c>
      <c r="E13" s="6" t="str">
        <f aca="false">IF(C13=D13,"YES","NO")</f>
        <v>YES</v>
      </c>
      <c r="F13" s="6" t="s">
        <v>488</v>
      </c>
      <c r="G13" s="6"/>
      <c r="H13" s="6" t="s">
        <v>489</v>
      </c>
    </row>
    <row r="14" customFormat="false" ht="39.75" hidden="false" customHeight="true" outlineLevel="0" collapsed="false">
      <c r="A14" s="6" t="s">
        <v>493</v>
      </c>
      <c r="B14" s="6" t="s">
        <v>494</v>
      </c>
      <c r="C14" s="16" t="s">
        <v>193</v>
      </c>
      <c r="D14" s="30" t="s">
        <v>193</v>
      </c>
      <c r="E14" s="6" t="str">
        <f aca="false">IF(C14=D14,"YES","NO")</f>
        <v>YES</v>
      </c>
      <c r="F14" s="6" t="s">
        <v>495</v>
      </c>
      <c r="G14" s="6"/>
      <c r="H14" s="6" t="s">
        <v>489</v>
      </c>
    </row>
    <row r="15" customFormat="false" ht="39.75" hidden="false" customHeight="true" outlineLevel="0" collapsed="false">
      <c r="A15" s="6" t="s">
        <v>226</v>
      </c>
      <c r="B15" s="6" t="s">
        <v>227</v>
      </c>
      <c r="C15" s="16" t="s">
        <v>193</v>
      </c>
      <c r="D15" s="30" t="s">
        <v>193</v>
      </c>
      <c r="E15" s="6" t="str">
        <f aca="false">IF(C15=D15,"YES","NO")</f>
        <v>YES</v>
      </c>
      <c r="F15" s="6" t="s">
        <v>488</v>
      </c>
      <c r="G15" s="6"/>
      <c r="H15" s="6" t="s">
        <v>489</v>
      </c>
    </row>
    <row r="16" customFormat="false" ht="39.75" hidden="false" customHeight="true" outlineLevel="0" collapsed="false">
      <c r="A16" s="6" t="s">
        <v>496</v>
      </c>
      <c r="B16" s="6" t="s">
        <v>497</v>
      </c>
      <c r="C16" s="16" t="s">
        <v>193</v>
      </c>
      <c r="D16" s="30" t="s">
        <v>193</v>
      </c>
      <c r="E16" s="6" t="str">
        <f aca="false">IF(C16=D16,"YES","NO")</f>
        <v>YES</v>
      </c>
      <c r="F16" s="6" t="s">
        <v>498</v>
      </c>
      <c r="G16" s="6"/>
      <c r="H16" s="6" t="s">
        <v>489</v>
      </c>
    </row>
    <row r="17" customFormat="false" ht="39.75" hidden="false" customHeight="true" outlineLevel="0" collapsed="false">
      <c r="A17" s="6" t="s">
        <v>230</v>
      </c>
      <c r="B17" s="6" t="s">
        <v>231</v>
      </c>
      <c r="C17" s="16" t="s">
        <v>193</v>
      </c>
      <c r="D17" s="30" t="s">
        <v>193</v>
      </c>
      <c r="E17" s="6" t="str">
        <f aca="false">IF(C17=D17,"YES","NO")</f>
        <v>YES</v>
      </c>
      <c r="F17" s="6" t="s">
        <v>488</v>
      </c>
      <c r="G17" s="6"/>
      <c r="H17" s="6" t="s">
        <v>489</v>
      </c>
    </row>
    <row r="18" customFormat="false" ht="39.75" hidden="false" customHeight="true" outlineLevel="0" collapsed="false">
      <c r="A18" s="6" t="s">
        <v>234</v>
      </c>
      <c r="B18" s="6" t="s">
        <v>235</v>
      </c>
      <c r="C18" s="16" t="s">
        <v>193</v>
      </c>
      <c r="D18" s="30" t="s">
        <v>193</v>
      </c>
      <c r="E18" s="6" t="str">
        <f aca="false">IF(C18=D18,"YES","NO")</f>
        <v>YES</v>
      </c>
      <c r="F18" s="6" t="s">
        <v>488</v>
      </c>
      <c r="G18" s="6"/>
      <c r="H18" s="6" t="s">
        <v>489</v>
      </c>
    </row>
    <row r="19" customFormat="false" ht="39.75" hidden="false" customHeight="true" outlineLevel="0" collapsed="false">
      <c r="A19" s="6" t="s">
        <v>238</v>
      </c>
      <c r="B19" s="6" t="s">
        <v>239</v>
      </c>
      <c r="C19" s="17" t="s">
        <v>240</v>
      </c>
      <c r="D19" s="30" t="s">
        <v>240</v>
      </c>
      <c r="E19" s="6" t="str">
        <f aca="false">IF(C19=D19,"YES","NO")</f>
        <v>YES</v>
      </c>
      <c r="F19" s="6" t="s">
        <v>499</v>
      </c>
      <c r="G19" s="6" t="s">
        <v>261</v>
      </c>
      <c r="H19" s="6" t="s">
        <v>489</v>
      </c>
    </row>
    <row r="20" customFormat="false" ht="39.75" hidden="false" customHeight="true" outlineLevel="0" collapsed="false">
      <c r="A20" s="6" t="s">
        <v>244</v>
      </c>
      <c r="B20" s="6" t="s">
        <v>245</v>
      </c>
      <c r="C20" s="17" t="s">
        <v>240</v>
      </c>
      <c r="D20" s="30" t="s">
        <v>240</v>
      </c>
      <c r="E20" s="6" t="str">
        <f aca="false">IF(C20=D20,"YES","NO")</f>
        <v>YES</v>
      </c>
      <c r="F20" s="6" t="s">
        <v>499</v>
      </c>
      <c r="G20" s="6" t="s">
        <v>261</v>
      </c>
      <c r="H20" s="6" t="s">
        <v>489</v>
      </c>
    </row>
    <row r="21" customFormat="false" ht="39.75" hidden="false" customHeight="true" outlineLevel="0" collapsed="false">
      <c r="A21" s="6" t="s">
        <v>248</v>
      </c>
      <c r="B21" s="6" t="s">
        <v>249</v>
      </c>
      <c r="C21" s="17" t="s">
        <v>240</v>
      </c>
      <c r="D21" s="30" t="s">
        <v>240</v>
      </c>
      <c r="E21" s="6" t="str">
        <f aca="false">IF(C21=D21,"YES","NO")</f>
        <v>YES</v>
      </c>
      <c r="F21" s="6" t="s">
        <v>499</v>
      </c>
      <c r="G21" s="6" t="s">
        <v>261</v>
      </c>
      <c r="H21" s="6" t="s">
        <v>489</v>
      </c>
    </row>
    <row r="22" customFormat="false" ht="39.75" hidden="false" customHeight="true" outlineLevel="0" collapsed="false">
      <c r="A22" s="6" t="s">
        <v>252</v>
      </c>
      <c r="B22" s="6" t="s">
        <v>253</v>
      </c>
      <c r="C22" s="17" t="s">
        <v>240</v>
      </c>
      <c r="D22" s="30" t="s">
        <v>240</v>
      </c>
      <c r="E22" s="6" t="str">
        <f aca="false">IF(C22=D22,"YES","NO")</f>
        <v>YES</v>
      </c>
      <c r="F22" s="6" t="s">
        <v>499</v>
      </c>
      <c r="G22" s="6"/>
      <c r="H22" s="6" t="s">
        <v>489</v>
      </c>
    </row>
    <row r="23" customFormat="false" ht="39.75" hidden="false" customHeight="true" outlineLevel="0" collapsed="false">
      <c r="A23" s="6" t="s">
        <v>255</v>
      </c>
      <c r="B23" s="6" t="s">
        <v>256</v>
      </c>
      <c r="C23" s="17" t="s">
        <v>240</v>
      </c>
      <c r="D23" s="30" t="s">
        <v>240</v>
      </c>
      <c r="E23" s="6" t="str">
        <f aca="false">IF(C23=D23,"YES","NO")</f>
        <v>YES</v>
      </c>
      <c r="F23" s="6" t="s">
        <v>499</v>
      </c>
      <c r="G23" s="6"/>
      <c r="H23" s="6" t="s">
        <v>489</v>
      </c>
    </row>
    <row r="24" customFormat="false" ht="39.75" hidden="false" customHeight="true" outlineLevel="0" collapsed="false">
      <c r="A24" s="6" t="s">
        <v>258</v>
      </c>
      <c r="B24" s="6" t="s">
        <v>259</v>
      </c>
      <c r="C24" s="17" t="s">
        <v>240</v>
      </c>
      <c r="D24" s="30" t="s">
        <v>240</v>
      </c>
      <c r="E24" s="6" t="str">
        <f aca="false">IF(C24=D24,"YES","NO")</f>
        <v>YES</v>
      </c>
      <c r="F24" s="6" t="s">
        <v>499</v>
      </c>
      <c r="G24" s="6"/>
      <c r="H24" s="6" t="s">
        <v>489</v>
      </c>
    </row>
    <row r="25" customFormat="false" ht="39.75" hidden="false" customHeight="true" outlineLevel="0" collapsed="false">
      <c r="A25" s="6" t="s">
        <v>262</v>
      </c>
      <c r="B25" s="6" t="s">
        <v>263</v>
      </c>
      <c r="C25" s="17" t="s">
        <v>240</v>
      </c>
      <c r="D25" s="30" t="s">
        <v>240</v>
      </c>
      <c r="E25" s="6" t="str">
        <f aca="false">IF(C25=D25,"YES","NO")</f>
        <v>YES</v>
      </c>
      <c r="F25" s="6" t="s">
        <v>499</v>
      </c>
      <c r="G25" s="6"/>
      <c r="H25" s="6" t="s">
        <v>489</v>
      </c>
    </row>
    <row r="26" customFormat="false" ht="39.75" hidden="false" customHeight="true" outlineLevel="0" collapsed="false">
      <c r="A26" s="6" t="s">
        <v>265</v>
      </c>
      <c r="B26" s="6" t="s">
        <v>266</v>
      </c>
      <c r="C26" s="17" t="s">
        <v>240</v>
      </c>
      <c r="D26" s="30" t="s">
        <v>240</v>
      </c>
      <c r="E26" s="6" t="str">
        <f aca="false">IF(C26=D26,"YES","NO")</f>
        <v>YES</v>
      </c>
      <c r="F26" s="6" t="s">
        <v>499</v>
      </c>
      <c r="G26" s="6"/>
      <c r="H26" s="6" t="s">
        <v>489</v>
      </c>
    </row>
    <row r="27" customFormat="false" ht="39.75" hidden="false" customHeight="true" outlineLevel="0" collapsed="false">
      <c r="A27" s="6" t="s">
        <v>268</v>
      </c>
      <c r="B27" s="6" t="s">
        <v>500</v>
      </c>
      <c r="C27" s="31" t="s">
        <v>501</v>
      </c>
      <c r="D27" s="30" t="s">
        <v>240</v>
      </c>
      <c r="E27" s="6" t="str">
        <f aca="false">IF(C27=D27,"YES","NO")</f>
        <v>NO</v>
      </c>
      <c r="F27" s="6" t="s">
        <v>499</v>
      </c>
      <c r="G27" s="6"/>
      <c r="H27" s="6" t="s">
        <v>489</v>
      </c>
    </row>
    <row r="28" customFormat="false" ht="39.75" hidden="false" customHeight="true" outlineLevel="0" collapsed="false">
      <c r="A28" s="6" t="s">
        <v>271</v>
      </c>
      <c r="B28" s="6" t="s">
        <v>500</v>
      </c>
      <c r="C28" s="31" t="s">
        <v>501</v>
      </c>
      <c r="D28" s="30" t="s">
        <v>240</v>
      </c>
      <c r="E28" s="6" t="str">
        <f aca="false">IF(C28=D28,"YES","NO")</f>
        <v>NO</v>
      </c>
      <c r="F28" s="6" t="s">
        <v>499</v>
      </c>
      <c r="G28" s="6"/>
      <c r="H28" s="6" t="s">
        <v>489</v>
      </c>
    </row>
    <row r="30" customFormat="false" ht="15" hidden="false" customHeight="true" outlineLevel="0" collapsed="false">
      <c r="A30" s="10" t="s">
        <v>502</v>
      </c>
    </row>
    <row r="31" customFormat="false" ht="15" hidden="false" customHeight="true" outlineLevel="0" collapsed="false">
      <c r="A31" s="32" t="s">
        <v>503</v>
      </c>
      <c r="B31" s="33" t="n">
        <f aca="false">COUNTIF(C5:C28,"FACT")</f>
        <v>14</v>
      </c>
    </row>
    <row r="32" customFormat="false" ht="15" hidden="false" customHeight="true" outlineLevel="0" collapsed="false">
      <c r="A32" s="34" t="s">
        <v>504</v>
      </c>
      <c r="B32" s="35" t="n">
        <f aca="false">COUNTIF(C5:C28,"CLAIM")</f>
        <v>8</v>
      </c>
    </row>
    <row r="33" customFormat="false" ht="15" hidden="false" customHeight="true" outlineLevel="0" collapsed="false">
      <c r="A33" s="36" t="s">
        <v>505</v>
      </c>
      <c r="B33" s="37" t="n">
        <f aca="false">COUNTIF(C5:C28,"EVIDENCE")</f>
        <v>0</v>
      </c>
    </row>
    <row r="34" customFormat="false" ht="15" hidden="false" customHeight="true" outlineLevel="0" collapsed="false">
      <c r="A34" s="38" t="s">
        <v>506</v>
      </c>
      <c r="B34" s="39" t="n">
        <f aca="false">COUNTIF(C5:C28,"FACT")/(COUNTIF(C5:C28,"FACT")+COUNTIF(C5:C28,"CLAIM"))</f>
        <v>0.636363636363636</v>
      </c>
    </row>
    <row r="35" customFormat="false" ht="15" hidden="false" customHeight="true" outlineLevel="0" collapsed="false">
      <c r="A35" s="38" t="s">
        <v>507</v>
      </c>
      <c r="B35" s="39" t="n">
        <f aca="false">IF(B32=0,"N/A",B33/B32)</f>
        <v>0</v>
      </c>
    </row>
    <row r="36" customFormat="false" ht="15" hidden="false" customHeight="true" outlineLevel="0" collapsed="false">
      <c r="A36" s="21" t="s">
        <v>508</v>
      </c>
      <c r="B36" s="39" t="n">
        <f aca="false">COUNTIF(E5:E28,"YES")/COUNTA(E5:E28)</f>
        <v>0.916666666666667</v>
      </c>
    </row>
  </sheetData>
  <mergeCells count="3">
    <mergeCell ref="A1:H1"/>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2D12"/>
    <pageSetUpPr fitToPage="fals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2"/>
    <col collapsed="false" customWidth="true" hidden="false" outlineLevel="0" max="5" min="3" style="1" width="12"/>
    <col collapsed="false" customWidth="true" hidden="false" outlineLevel="0" max="6" min="6" style="1" width="40"/>
    <col collapsed="false" customWidth="true" hidden="false" outlineLevel="0" max="7" min="7" style="1" width="16"/>
    <col collapsed="false" customWidth="true" hidden="false" outlineLevel="0" max="8" min="8" style="1" width="24"/>
  </cols>
  <sheetData>
    <row r="1" customFormat="false" ht="27.75" hidden="false" customHeight="true" outlineLevel="0" collapsed="false">
      <c r="A1" s="26" t="s">
        <v>509</v>
      </c>
      <c r="B1" s="26"/>
      <c r="C1" s="26"/>
      <c r="D1" s="26"/>
      <c r="E1" s="26"/>
      <c r="F1" s="26"/>
      <c r="G1" s="26"/>
      <c r="H1" s="26"/>
    </row>
    <row r="2" customFormat="false" ht="15.75" hidden="false" customHeight="true" outlineLevel="0" collapsed="false">
      <c r="A2" s="27" t="s">
        <v>510</v>
      </c>
      <c r="B2" s="27"/>
      <c r="C2" s="27"/>
      <c r="D2" s="27"/>
      <c r="E2" s="27"/>
      <c r="F2" s="27"/>
      <c r="G2" s="27"/>
      <c r="H2" s="27"/>
    </row>
    <row r="3" customFormat="false" ht="19.5" hidden="false" customHeight="true" outlineLevel="0" collapsed="false">
      <c r="A3" s="40" t="s">
        <v>511</v>
      </c>
      <c r="B3" s="40"/>
      <c r="C3" s="40"/>
      <c r="D3" s="40"/>
      <c r="E3" s="40"/>
      <c r="F3" s="40"/>
      <c r="G3" s="40"/>
      <c r="H3" s="40"/>
    </row>
    <row r="4" customFormat="false" ht="27.75" hidden="false" customHeight="true" outlineLevel="0" collapsed="false">
      <c r="A4" s="41" t="s">
        <v>185</v>
      </c>
      <c r="B4" s="41" t="s">
        <v>480</v>
      </c>
      <c r="C4" s="41" t="s">
        <v>481</v>
      </c>
      <c r="D4" s="41" t="s">
        <v>482</v>
      </c>
      <c r="E4" s="41" t="s">
        <v>483</v>
      </c>
      <c r="F4" s="41" t="s">
        <v>484</v>
      </c>
      <c r="G4" s="41" t="s">
        <v>485</v>
      </c>
      <c r="H4" s="41" t="s">
        <v>486</v>
      </c>
    </row>
    <row r="5" customFormat="false" ht="39.75" hidden="false" customHeight="true" outlineLevel="0" collapsed="false">
      <c r="A5" s="6" t="s">
        <v>191</v>
      </c>
      <c r="B5" s="6" t="s">
        <v>487</v>
      </c>
      <c r="C5" s="16" t="s">
        <v>193</v>
      </c>
      <c r="D5" s="30" t="s">
        <v>193</v>
      </c>
      <c r="E5" s="6" t="str">
        <f aca="false">IF(C5=D5,"YES","NO")</f>
        <v>YES</v>
      </c>
      <c r="F5" s="6" t="s">
        <v>512</v>
      </c>
      <c r="G5" s="6"/>
      <c r="H5" s="6" t="s">
        <v>489</v>
      </c>
    </row>
    <row r="6" customFormat="false" ht="39.75" hidden="false" customHeight="true" outlineLevel="0" collapsed="false">
      <c r="A6" s="6" t="s">
        <v>197</v>
      </c>
      <c r="B6" s="6" t="s">
        <v>198</v>
      </c>
      <c r="C6" s="16" t="s">
        <v>193</v>
      </c>
      <c r="D6" s="30" t="s">
        <v>193</v>
      </c>
      <c r="E6" s="6" t="str">
        <f aca="false">IF(C6=D6,"YES","NO")</f>
        <v>YES</v>
      </c>
      <c r="F6" s="6" t="s">
        <v>512</v>
      </c>
      <c r="G6" s="6"/>
      <c r="H6" s="6" t="s">
        <v>489</v>
      </c>
    </row>
    <row r="7" customFormat="false" ht="39.75" hidden="false" customHeight="true" outlineLevel="0" collapsed="false">
      <c r="A7" s="6" t="s">
        <v>201</v>
      </c>
      <c r="B7" s="6" t="s">
        <v>202</v>
      </c>
      <c r="C7" s="16" t="s">
        <v>193</v>
      </c>
      <c r="D7" s="30" t="s">
        <v>193</v>
      </c>
      <c r="E7" s="6" t="str">
        <f aca="false">IF(C7=D7,"YES","NO")</f>
        <v>YES</v>
      </c>
      <c r="F7" s="6" t="s">
        <v>512</v>
      </c>
      <c r="G7" s="6"/>
      <c r="H7" s="6" t="s">
        <v>489</v>
      </c>
    </row>
    <row r="8" customFormat="false" ht="39.75" hidden="false" customHeight="true" outlineLevel="0" collapsed="false">
      <c r="A8" s="6" t="s">
        <v>205</v>
      </c>
      <c r="B8" s="6" t="s">
        <v>206</v>
      </c>
      <c r="C8" s="16" t="s">
        <v>193</v>
      </c>
      <c r="D8" s="30" t="s">
        <v>193</v>
      </c>
      <c r="E8" s="6" t="str">
        <f aca="false">IF(C8=D8,"YES","NO")</f>
        <v>YES</v>
      </c>
      <c r="F8" s="6" t="s">
        <v>512</v>
      </c>
      <c r="G8" s="6"/>
      <c r="H8" s="6" t="s">
        <v>489</v>
      </c>
    </row>
    <row r="9" customFormat="false" ht="39.75" hidden="false" customHeight="true" outlineLevel="0" collapsed="false">
      <c r="A9" s="6" t="s">
        <v>209</v>
      </c>
      <c r="B9" s="6" t="s">
        <v>210</v>
      </c>
      <c r="C9" s="16" t="s">
        <v>193</v>
      </c>
      <c r="D9" s="30" t="s">
        <v>193</v>
      </c>
      <c r="E9" s="6" t="str">
        <f aca="false">IF(C9=D9,"YES","NO")</f>
        <v>YES</v>
      </c>
      <c r="F9" s="6" t="s">
        <v>512</v>
      </c>
      <c r="G9" s="6"/>
      <c r="H9" s="6" t="s">
        <v>489</v>
      </c>
    </row>
    <row r="10" customFormat="false" ht="39.75" hidden="false" customHeight="true" outlineLevel="0" collapsed="false">
      <c r="A10" s="6" t="s">
        <v>214</v>
      </c>
      <c r="B10" s="6" t="s">
        <v>215</v>
      </c>
      <c r="C10" s="16" t="s">
        <v>193</v>
      </c>
      <c r="D10" s="30" t="s">
        <v>193</v>
      </c>
      <c r="E10" s="6" t="str">
        <f aca="false">IF(C10=D10,"YES","NO")</f>
        <v>YES</v>
      </c>
      <c r="F10" s="6" t="s">
        <v>512</v>
      </c>
      <c r="G10" s="6"/>
      <c r="H10" s="6" t="s">
        <v>489</v>
      </c>
    </row>
    <row r="11" customFormat="false" ht="39.75" hidden="false" customHeight="true" outlineLevel="0" collapsed="false">
      <c r="A11" s="6" t="s">
        <v>218</v>
      </c>
      <c r="B11" s="6" t="s">
        <v>219</v>
      </c>
      <c r="C11" s="16" t="s">
        <v>193</v>
      </c>
      <c r="D11" s="30" t="s">
        <v>193</v>
      </c>
      <c r="E11" s="6" t="str">
        <f aca="false">IF(C11=D11,"YES","NO")</f>
        <v>YES</v>
      </c>
      <c r="F11" s="6" t="s">
        <v>512</v>
      </c>
      <c r="G11" s="6"/>
      <c r="H11" s="6" t="s">
        <v>489</v>
      </c>
    </row>
    <row r="12" customFormat="false" ht="39.75" hidden="false" customHeight="true" outlineLevel="0" collapsed="false">
      <c r="A12" s="6" t="s">
        <v>222</v>
      </c>
      <c r="B12" s="6" t="s">
        <v>223</v>
      </c>
      <c r="C12" s="16" t="s">
        <v>193</v>
      </c>
      <c r="D12" s="30" t="s">
        <v>193</v>
      </c>
      <c r="E12" s="6" t="str">
        <f aca="false">IF(C12=D12,"YES","NO")</f>
        <v>YES</v>
      </c>
      <c r="F12" s="6" t="s">
        <v>512</v>
      </c>
      <c r="G12" s="6"/>
      <c r="H12" s="6" t="s">
        <v>489</v>
      </c>
    </row>
    <row r="13" customFormat="false" ht="39.75" hidden="false" customHeight="true" outlineLevel="0" collapsed="false">
      <c r="A13" s="6" t="s">
        <v>226</v>
      </c>
      <c r="B13" s="6" t="s">
        <v>227</v>
      </c>
      <c r="C13" s="16" t="s">
        <v>193</v>
      </c>
      <c r="D13" s="30" t="s">
        <v>193</v>
      </c>
      <c r="E13" s="6" t="str">
        <f aca="false">IF(C13=D13,"YES","NO")</f>
        <v>YES</v>
      </c>
      <c r="F13" s="6" t="s">
        <v>512</v>
      </c>
      <c r="G13" s="6"/>
      <c r="H13" s="6" t="s">
        <v>489</v>
      </c>
    </row>
    <row r="14" customFormat="false" ht="39.75" hidden="false" customHeight="true" outlineLevel="0" collapsed="false">
      <c r="A14" s="6" t="s">
        <v>230</v>
      </c>
      <c r="B14" s="6" t="s">
        <v>231</v>
      </c>
      <c r="C14" s="16" t="s">
        <v>193</v>
      </c>
      <c r="D14" s="30" t="s">
        <v>193</v>
      </c>
      <c r="E14" s="6" t="str">
        <f aca="false">IF(C14=D14,"YES","NO")</f>
        <v>YES</v>
      </c>
      <c r="F14" s="6" t="s">
        <v>512</v>
      </c>
      <c r="G14" s="6"/>
      <c r="H14" s="6" t="s">
        <v>489</v>
      </c>
    </row>
    <row r="15" customFormat="false" ht="39.75" hidden="false" customHeight="true" outlineLevel="0" collapsed="false">
      <c r="A15" s="6" t="s">
        <v>234</v>
      </c>
      <c r="B15" s="6" t="s">
        <v>235</v>
      </c>
      <c r="C15" s="16" t="s">
        <v>193</v>
      </c>
      <c r="D15" s="30" t="s">
        <v>193</v>
      </c>
      <c r="E15" s="6" t="str">
        <f aca="false">IF(C15=D15,"YES","NO")</f>
        <v>YES</v>
      </c>
      <c r="F15" s="6" t="s">
        <v>512</v>
      </c>
      <c r="G15" s="6"/>
      <c r="H15" s="6" t="s">
        <v>489</v>
      </c>
    </row>
    <row r="16" customFormat="false" ht="39.75" hidden="false" customHeight="true" outlineLevel="0" collapsed="false">
      <c r="A16" s="6" t="s">
        <v>238</v>
      </c>
      <c r="B16" s="6" t="s">
        <v>239</v>
      </c>
      <c r="C16" s="16" t="s">
        <v>193</v>
      </c>
      <c r="D16" s="30" t="s">
        <v>240</v>
      </c>
      <c r="E16" s="42" t="str">
        <f aca="false">IF(C16=D16,"YES","NO")</f>
        <v>NO</v>
      </c>
      <c r="F16" s="6" t="s">
        <v>513</v>
      </c>
      <c r="G16" s="6" t="s">
        <v>514</v>
      </c>
      <c r="H16" s="6" t="s">
        <v>489</v>
      </c>
    </row>
    <row r="17" customFormat="false" ht="39.75" hidden="false" customHeight="true" outlineLevel="0" collapsed="false">
      <c r="A17" s="6" t="s">
        <v>244</v>
      </c>
      <c r="B17" s="6" t="s">
        <v>245</v>
      </c>
      <c r="C17" s="16" t="s">
        <v>193</v>
      </c>
      <c r="D17" s="30" t="s">
        <v>240</v>
      </c>
      <c r="E17" s="42" t="str">
        <f aca="false">IF(C17=D17,"YES","NO")</f>
        <v>NO</v>
      </c>
      <c r="F17" s="6" t="s">
        <v>513</v>
      </c>
      <c r="G17" s="6" t="s">
        <v>514</v>
      </c>
      <c r="H17" s="6" t="s">
        <v>489</v>
      </c>
    </row>
    <row r="18" customFormat="false" ht="39.75" hidden="false" customHeight="true" outlineLevel="0" collapsed="false">
      <c r="A18" s="6" t="s">
        <v>248</v>
      </c>
      <c r="B18" s="6" t="s">
        <v>249</v>
      </c>
      <c r="C18" s="16" t="s">
        <v>193</v>
      </c>
      <c r="D18" s="30" t="s">
        <v>240</v>
      </c>
      <c r="E18" s="42" t="str">
        <f aca="false">IF(C18=D18,"YES","NO")</f>
        <v>NO</v>
      </c>
      <c r="F18" s="6" t="s">
        <v>513</v>
      </c>
      <c r="G18" s="6" t="s">
        <v>514</v>
      </c>
      <c r="H18" s="6" t="s">
        <v>489</v>
      </c>
    </row>
    <row r="19" customFormat="false" ht="39.75" hidden="false" customHeight="true" outlineLevel="0" collapsed="false">
      <c r="A19" s="6" t="s">
        <v>252</v>
      </c>
      <c r="B19" s="6" t="s">
        <v>253</v>
      </c>
      <c r="C19" s="16" t="s">
        <v>193</v>
      </c>
      <c r="D19" s="30" t="s">
        <v>240</v>
      </c>
      <c r="E19" s="42" t="str">
        <f aca="false">IF(C19=D19,"YES","NO")</f>
        <v>NO</v>
      </c>
      <c r="F19" s="6" t="s">
        <v>513</v>
      </c>
      <c r="G19" s="6" t="s">
        <v>514</v>
      </c>
      <c r="H19" s="6" t="s">
        <v>489</v>
      </c>
    </row>
    <row r="20" customFormat="false" ht="39.75" hidden="false" customHeight="true" outlineLevel="0" collapsed="false">
      <c r="A20" s="6" t="s">
        <v>255</v>
      </c>
      <c r="B20" s="6" t="s">
        <v>256</v>
      </c>
      <c r="C20" s="16" t="s">
        <v>193</v>
      </c>
      <c r="D20" s="30" t="s">
        <v>240</v>
      </c>
      <c r="E20" s="42" t="str">
        <f aca="false">IF(C20=D20,"YES","NO")</f>
        <v>NO</v>
      </c>
      <c r="F20" s="6" t="s">
        <v>513</v>
      </c>
      <c r="G20" s="6" t="s">
        <v>514</v>
      </c>
      <c r="H20" s="6" t="s">
        <v>489</v>
      </c>
    </row>
    <row r="21" customFormat="false" ht="39.75" hidden="false" customHeight="true" outlineLevel="0" collapsed="false">
      <c r="A21" s="6" t="s">
        <v>258</v>
      </c>
      <c r="B21" s="6" t="s">
        <v>259</v>
      </c>
      <c r="C21" s="16" t="s">
        <v>193</v>
      </c>
      <c r="D21" s="30" t="s">
        <v>240</v>
      </c>
      <c r="E21" s="42" t="str">
        <f aca="false">IF(C21=D21,"YES","NO")</f>
        <v>NO</v>
      </c>
      <c r="F21" s="6" t="s">
        <v>513</v>
      </c>
      <c r="G21" s="6" t="s">
        <v>514</v>
      </c>
      <c r="H21" s="6" t="s">
        <v>489</v>
      </c>
    </row>
    <row r="22" customFormat="false" ht="39.75" hidden="false" customHeight="true" outlineLevel="0" collapsed="false">
      <c r="A22" s="6" t="s">
        <v>262</v>
      </c>
      <c r="B22" s="6" t="s">
        <v>263</v>
      </c>
      <c r="C22" s="17" t="s">
        <v>240</v>
      </c>
      <c r="D22" s="30" t="s">
        <v>240</v>
      </c>
      <c r="E22" s="42" t="str">
        <f aca="false">IF(C22=D22,"YES","NO")</f>
        <v>YES</v>
      </c>
      <c r="F22" s="6" t="s">
        <v>515</v>
      </c>
      <c r="G22" s="6" t="s">
        <v>514</v>
      </c>
      <c r="H22" s="6" t="s">
        <v>489</v>
      </c>
    </row>
    <row r="23" customFormat="false" ht="39.75" hidden="false" customHeight="true" outlineLevel="0" collapsed="false">
      <c r="A23" s="6" t="s">
        <v>265</v>
      </c>
      <c r="B23" s="6" t="s">
        <v>266</v>
      </c>
      <c r="C23" s="17" t="s">
        <v>240</v>
      </c>
      <c r="D23" s="30" t="s">
        <v>240</v>
      </c>
      <c r="E23" s="6" t="str">
        <f aca="false">IF(C23=D23,"YES","NO")</f>
        <v>YES</v>
      </c>
      <c r="F23" s="6" t="s">
        <v>516</v>
      </c>
      <c r="G23" s="6"/>
      <c r="H23" s="6" t="s">
        <v>489</v>
      </c>
    </row>
    <row r="24" customFormat="false" ht="39.75" hidden="false" customHeight="true" outlineLevel="0" collapsed="false">
      <c r="A24" s="6" t="s">
        <v>268</v>
      </c>
      <c r="B24" s="6" t="s">
        <v>269</v>
      </c>
      <c r="C24" s="17" t="s">
        <v>240</v>
      </c>
      <c r="D24" s="30" t="s">
        <v>240</v>
      </c>
      <c r="E24" s="6" t="str">
        <f aca="false">IF(C24=D24,"YES","NO")</f>
        <v>YES</v>
      </c>
      <c r="F24" s="6" t="s">
        <v>516</v>
      </c>
      <c r="G24" s="6"/>
      <c r="H24" s="6" t="s">
        <v>489</v>
      </c>
    </row>
    <row r="25" customFormat="false" ht="39.75" hidden="false" customHeight="true" outlineLevel="0" collapsed="false">
      <c r="A25" s="6" t="s">
        <v>271</v>
      </c>
      <c r="B25" s="6" t="s">
        <v>272</v>
      </c>
      <c r="C25" s="17" t="s">
        <v>240</v>
      </c>
      <c r="D25" s="30" t="s">
        <v>240</v>
      </c>
      <c r="E25" s="6" t="str">
        <f aca="false">IF(C25=D25,"YES","NO")</f>
        <v>YES</v>
      </c>
      <c r="F25" s="6" t="s">
        <v>516</v>
      </c>
      <c r="G25" s="6"/>
      <c r="H25" s="6" t="s">
        <v>489</v>
      </c>
    </row>
    <row r="26" customFormat="false" ht="39.75" hidden="false" customHeight="true" outlineLevel="0" collapsed="false">
      <c r="A26" s="6" t="s">
        <v>517</v>
      </c>
      <c r="B26" s="6" t="s">
        <v>518</v>
      </c>
      <c r="C26" s="16" t="s">
        <v>193</v>
      </c>
      <c r="D26" s="30" t="s">
        <v>240</v>
      </c>
      <c r="E26" s="42" t="str">
        <f aca="false">IF(C26=D26,"YES","NO")</f>
        <v>NO</v>
      </c>
      <c r="F26" s="6" t="s">
        <v>519</v>
      </c>
      <c r="G26" s="6" t="s">
        <v>261</v>
      </c>
      <c r="H26" s="6" t="s">
        <v>489</v>
      </c>
    </row>
    <row r="27" customFormat="false" ht="39.75" hidden="false" customHeight="true" outlineLevel="0" collapsed="false">
      <c r="A27" s="6" t="s">
        <v>520</v>
      </c>
      <c r="B27" s="6" t="s">
        <v>521</v>
      </c>
      <c r="C27" s="16" t="s">
        <v>193</v>
      </c>
      <c r="D27" s="30" t="s">
        <v>240</v>
      </c>
      <c r="E27" s="42" t="str">
        <f aca="false">IF(C27=D27,"YES","NO")</f>
        <v>NO</v>
      </c>
      <c r="F27" s="6" t="s">
        <v>522</v>
      </c>
      <c r="G27" s="6" t="s">
        <v>261</v>
      </c>
      <c r="H27" s="6" t="s">
        <v>489</v>
      </c>
    </row>
    <row r="28" customFormat="false" ht="39.75" hidden="false" customHeight="true" outlineLevel="0" collapsed="false">
      <c r="A28" s="6" t="s">
        <v>523</v>
      </c>
      <c r="B28" s="6" t="s">
        <v>524</v>
      </c>
      <c r="C28" s="16" t="s">
        <v>193</v>
      </c>
      <c r="D28" s="30" t="s">
        <v>240</v>
      </c>
      <c r="E28" s="42" t="str">
        <f aca="false">IF(C28=D28,"YES","NO")</f>
        <v>NO</v>
      </c>
      <c r="F28" s="6" t="s">
        <v>525</v>
      </c>
      <c r="G28" s="6" t="s">
        <v>261</v>
      </c>
      <c r="H28" s="6" t="s">
        <v>489</v>
      </c>
    </row>
    <row r="29" customFormat="false" ht="39.75" hidden="false" customHeight="true" outlineLevel="0" collapsed="false">
      <c r="A29" s="6" t="s">
        <v>526</v>
      </c>
      <c r="B29" s="6" t="s">
        <v>527</v>
      </c>
      <c r="C29" s="16" t="s">
        <v>193</v>
      </c>
      <c r="D29" s="30" t="s">
        <v>240</v>
      </c>
      <c r="E29" s="42" t="str">
        <f aca="false">IF(C29=D29,"YES","NO")</f>
        <v>NO</v>
      </c>
      <c r="F29" s="6" t="s">
        <v>528</v>
      </c>
      <c r="G29" s="6" t="s">
        <v>261</v>
      </c>
      <c r="H29" s="6" t="s">
        <v>489</v>
      </c>
    </row>
    <row r="30" customFormat="false" ht="39.75" hidden="false" customHeight="true" outlineLevel="0" collapsed="false">
      <c r="A30" s="6" t="s">
        <v>529</v>
      </c>
      <c r="B30" s="6" t="s">
        <v>530</v>
      </c>
      <c r="C30" s="16" t="s">
        <v>193</v>
      </c>
      <c r="D30" s="30" t="s">
        <v>240</v>
      </c>
      <c r="E30" s="42" t="str">
        <f aca="false">IF(C30=D30,"YES","NO")</f>
        <v>NO</v>
      </c>
      <c r="F30" s="6" t="s">
        <v>531</v>
      </c>
      <c r="G30" s="6" t="s">
        <v>261</v>
      </c>
      <c r="H30" s="6" t="s">
        <v>489</v>
      </c>
    </row>
    <row r="31" customFormat="false" ht="39.75" hidden="false" customHeight="true" outlineLevel="0" collapsed="false">
      <c r="A31" s="6" t="s">
        <v>532</v>
      </c>
      <c r="B31" s="6" t="s">
        <v>533</v>
      </c>
      <c r="C31" s="16" t="s">
        <v>193</v>
      </c>
      <c r="D31" s="30" t="s">
        <v>240</v>
      </c>
      <c r="E31" s="42" t="str">
        <f aca="false">IF(C31=D31,"YES","NO")</f>
        <v>NO</v>
      </c>
      <c r="F31" s="6" t="s">
        <v>534</v>
      </c>
      <c r="G31" s="6" t="s">
        <v>261</v>
      </c>
      <c r="H31" s="6" t="s">
        <v>489</v>
      </c>
    </row>
    <row r="32" customFormat="false" ht="39.75" hidden="false" customHeight="true" outlineLevel="0" collapsed="false">
      <c r="A32" s="6" t="s">
        <v>535</v>
      </c>
      <c r="B32" s="6" t="s">
        <v>536</v>
      </c>
      <c r="C32" s="17" t="s">
        <v>240</v>
      </c>
      <c r="D32" s="30" t="s">
        <v>240</v>
      </c>
      <c r="E32" s="42" t="str">
        <f aca="false">IF(C32=D32,"YES","NO")</f>
        <v>YES</v>
      </c>
      <c r="F32" s="6" t="s">
        <v>515</v>
      </c>
      <c r="G32" s="6" t="s">
        <v>261</v>
      </c>
      <c r="H32" s="6" t="s">
        <v>489</v>
      </c>
    </row>
    <row r="33" customFormat="false" ht="39.75" hidden="false" customHeight="true" outlineLevel="0" collapsed="false">
      <c r="A33" s="6" t="s">
        <v>537</v>
      </c>
      <c r="B33" s="6" t="s">
        <v>538</v>
      </c>
      <c r="C33" s="16" t="s">
        <v>193</v>
      </c>
      <c r="D33" s="30" t="s">
        <v>240</v>
      </c>
      <c r="E33" s="42" t="str">
        <f aca="false">IF(C33=D33,"YES","NO")</f>
        <v>NO</v>
      </c>
      <c r="F33" s="6" t="s">
        <v>539</v>
      </c>
      <c r="G33" s="6" t="s">
        <v>261</v>
      </c>
      <c r="H33" s="6" t="s">
        <v>489</v>
      </c>
    </row>
    <row r="34" customFormat="false" ht="39.75" hidden="false" customHeight="true" outlineLevel="0" collapsed="false">
      <c r="A34" s="6" t="s">
        <v>540</v>
      </c>
      <c r="B34" s="6" t="s">
        <v>541</v>
      </c>
      <c r="C34" s="16" t="s">
        <v>193</v>
      </c>
      <c r="D34" s="30" t="s">
        <v>240</v>
      </c>
      <c r="E34" s="42" t="str">
        <f aca="false">IF(C34=D34,"YES","NO")</f>
        <v>NO</v>
      </c>
      <c r="F34" s="6" t="s">
        <v>542</v>
      </c>
      <c r="G34" s="6" t="s">
        <v>261</v>
      </c>
      <c r="H34" s="6" t="s">
        <v>489</v>
      </c>
    </row>
    <row r="35" customFormat="false" ht="39.75" hidden="false" customHeight="true" outlineLevel="0" collapsed="false">
      <c r="A35" s="15" t="s">
        <v>543</v>
      </c>
      <c r="B35" s="15" t="s">
        <v>544</v>
      </c>
      <c r="C35" s="16" t="s">
        <v>193</v>
      </c>
      <c r="D35" s="30" t="s">
        <v>240</v>
      </c>
      <c r="E35" s="15" t="str">
        <f aca="false">IF(C35=D35,"YES","NO")</f>
        <v>NO</v>
      </c>
      <c r="F35" s="15" t="s">
        <v>545</v>
      </c>
      <c r="G35" s="15" t="s">
        <v>261</v>
      </c>
      <c r="H35" s="15" t="s">
        <v>489</v>
      </c>
    </row>
    <row r="36" customFormat="false" ht="39.75" hidden="false" customHeight="true" outlineLevel="0" collapsed="false">
      <c r="A36" s="15" t="s">
        <v>546</v>
      </c>
      <c r="B36" s="15" t="s">
        <v>547</v>
      </c>
      <c r="C36" s="16" t="s">
        <v>193</v>
      </c>
      <c r="D36" s="30" t="s">
        <v>240</v>
      </c>
      <c r="E36" s="15" t="str">
        <f aca="false">IF(C36=D36,"YES","NO")</f>
        <v>NO</v>
      </c>
      <c r="F36" s="15" t="s">
        <v>548</v>
      </c>
      <c r="G36" s="15" t="s">
        <v>261</v>
      </c>
      <c r="H36" s="15" t="s">
        <v>489</v>
      </c>
    </row>
    <row r="37" customFormat="false" ht="39.75" hidden="false" customHeight="true" outlineLevel="0" collapsed="false">
      <c r="A37" s="15" t="s">
        <v>549</v>
      </c>
      <c r="B37" s="15" t="s">
        <v>550</v>
      </c>
      <c r="C37" s="16" t="s">
        <v>193</v>
      </c>
      <c r="D37" s="30" t="s">
        <v>240</v>
      </c>
      <c r="E37" s="15" t="str">
        <f aca="false">IF(C37=D37,"YES","NO")</f>
        <v>NO</v>
      </c>
      <c r="F37" s="15" t="s">
        <v>551</v>
      </c>
      <c r="G37" s="15" t="s">
        <v>552</v>
      </c>
      <c r="H37" s="15" t="s">
        <v>489</v>
      </c>
    </row>
    <row r="38" customFormat="false" ht="39.75" hidden="false" customHeight="true" outlineLevel="0" collapsed="false">
      <c r="A38" s="15" t="s">
        <v>553</v>
      </c>
      <c r="B38" s="15" t="s">
        <v>554</v>
      </c>
      <c r="C38" s="16" t="s">
        <v>193</v>
      </c>
      <c r="D38" s="30" t="s">
        <v>240</v>
      </c>
      <c r="E38" s="15" t="str">
        <f aca="false">IF(C38=D38,"YES","NO")</f>
        <v>NO</v>
      </c>
      <c r="F38" s="15" t="s">
        <v>555</v>
      </c>
      <c r="G38" s="15" t="s">
        <v>261</v>
      </c>
      <c r="H38" s="15" t="s">
        <v>489</v>
      </c>
    </row>
    <row r="39" customFormat="false" ht="39.75" hidden="false" customHeight="true" outlineLevel="0" collapsed="false">
      <c r="A39" s="15" t="s">
        <v>556</v>
      </c>
      <c r="B39" s="15" t="s">
        <v>557</v>
      </c>
      <c r="C39" s="16" t="s">
        <v>193</v>
      </c>
      <c r="D39" s="30" t="s">
        <v>240</v>
      </c>
      <c r="E39" s="15" t="str">
        <f aca="false">IF(C39=D39,"YES","NO")</f>
        <v>NO</v>
      </c>
      <c r="F39" s="15" t="s">
        <v>558</v>
      </c>
      <c r="G39" s="15" t="s">
        <v>261</v>
      </c>
      <c r="H39" s="15" t="s">
        <v>489</v>
      </c>
    </row>
    <row r="40" customFormat="false" ht="15" hidden="false" customHeight="true" outlineLevel="0" collapsed="false"/>
    <row r="41" customFormat="false" ht="15" hidden="false" customHeight="true" outlineLevel="0" collapsed="false">
      <c r="A41" s="10" t="s">
        <v>502</v>
      </c>
    </row>
    <row r="42" customFormat="false" ht="15" hidden="false" customHeight="true" outlineLevel="0" collapsed="false">
      <c r="A42" s="32" t="s">
        <v>503</v>
      </c>
      <c r="B42" s="33" t="n">
        <f aca="false">COUNTIF(C5:C39,"FACT")</f>
        <v>30</v>
      </c>
    </row>
    <row r="43" customFormat="false" ht="15" hidden="false" customHeight="true" outlineLevel="0" collapsed="false">
      <c r="A43" s="34" t="s">
        <v>504</v>
      </c>
      <c r="B43" s="35" t="n">
        <f aca="false">COUNTIF(C5:C39,"CLAIM")</f>
        <v>5</v>
      </c>
    </row>
    <row r="44" customFormat="false" ht="15" hidden="false" customHeight="true" outlineLevel="0" collapsed="false">
      <c r="A44" s="36" t="s">
        <v>505</v>
      </c>
      <c r="B44" s="37" t="n">
        <f aca="false">COUNTIF(C5:C39,"EVIDENCE")</f>
        <v>0</v>
      </c>
    </row>
    <row r="45" customFormat="false" ht="15" hidden="false" customHeight="true" outlineLevel="0" collapsed="false">
      <c r="A45" s="38" t="s">
        <v>506</v>
      </c>
      <c r="B45" s="39" t="n">
        <f aca="false">COUNTIF(C5:C39,"FACT")/(COUNTIF(C5:C39,"FACT")+COUNTIF(C5:C39,"CLAIM"))</f>
        <v>0.857142857142857</v>
      </c>
    </row>
    <row r="46" customFormat="false" ht="15" hidden="false" customHeight="true" outlineLevel="0" collapsed="false">
      <c r="A46" s="38" t="s">
        <v>507</v>
      </c>
      <c r="B46" s="39" t="n">
        <f aca="false">IF(COUNTIF(C5:C39,"CLAIM")=0,"N/A",COUNTIF(C5:C39,"EVIDENCE")/COUNTIF(C5:C39,"CLAIM"))</f>
        <v>0</v>
      </c>
    </row>
    <row r="47" customFormat="false" ht="15" hidden="false" customHeight="true" outlineLevel="0" collapsed="false">
      <c r="A47" s="21" t="s">
        <v>508</v>
      </c>
      <c r="B47" s="39" t="n">
        <f aca="false">COUNTIF(E5:E39,"YES")/COUNTA(E5:E39)</f>
        <v>0.457142857142857</v>
      </c>
    </row>
  </sheetData>
  <mergeCells count="3">
    <mergeCell ref="A1:H1"/>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8A"/>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2"/>
    <col collapsed="false" customWidth="true" hidden="false" outlineLevel="0" max="5" min="3" style="1" width="12"/>
    <col collapsed="false" customWidth="true" hidden="false" outlineLevel="0" max="6" min="6" style="1" width="40"/>
    <col collapsed="false" customWidth="true" hidden="false" outlineLevel="0" max="7" min="7" style="1" width="16"/>
    <col collapsed="false" customWidth="true" hidden="false" outlineLevel="0" max="8" min="8" style="1" width="24"/>
  </cols>
  <sheetData>
    <row r="1" customFormat="false" ht="27.75" hidden="false" customHeight="true" outlineLevel="0" collapsed="false">
      <c r="A1" s="26" t="s">
        <v>559</v>
      </c>
      <c r="B1" s="26"/>
      <c r="C1" s="26"/>
      <c r="D1" s="26"/>
      <c r="E1" s="26"/>
      <c r="F1" s="26"/>
      <c r="G1" s="26"/>
      <c r="H1" s="26"/>
    </row>
    <row r="2" customFormat="false" ht="15.75" hidden="false" customHeight="true" outlineLevel="0" collapsed="false">
      <c r="A2" s="27" t="s">
        <v>560</v>
      </c>
      <c r="B2" s="27"/>
      <c r="C2" s="27"/>
      <c r="D2" s="27"/>
      <c r="E2" s="27"/>
      <c r="F2" s="27"/>
      <c r="G2" s="27"/>
      <c r="H2" s="27"/>
    </row>
    <row r="3" customFormat="false" ht="19.5" hidden="false" customHeight="true" outlineLevel="0" collapsed="false">
      <c r="A3" s="43" t="s">
        <v>561</v>
      </c>
      <c r="B3" s="43"/>
      <c r="C3" s="43"/>
      <c r="D3" s="43"/>
      <c r="E3" s="43"/>
      <c r="F3" s="43"/>
      <c r="G3" s="43"/>
      <c r="H3" s="43"/>
    </row>
    <row r="4" customFormat="false" ht="27.75" hidden="false" customHeight="true" outlineLevel="0" collapsed="false">
      <c r="A4" s="44" t="s">
        <v>185</v>
      </c>
      <c r="B4" s="44" t="s">
        <v>480</v>
      </c>
      <c r="C4" s="44" t="s">
        <v>481</v>
      </c>
      <c r="D4" s="44" t="s">
        <v>482</v>
      </c>
      <c r="E4" s="44" t="s">
        <v>483</v>
      </c>
      <c r="F4" s="44" t="s">
        <v>484</v>
      </c>
      <c r="G4" s="44" t="s">
        <v>485</v>
      </c>
      <c r="H4" s="44" t="s">
        <v>486</v>
      </c>
    </row>
    <row r="5" customFormat="false" ht="39.75" hidden="false" customHeight="true" outlineLevel="0" collapsed="false">
      <c r="A5" s="6" t="s">
        <v>191</v>
      </c>
      <c r="B5" s="6" t="s">
        <v>487</v>
      </c>
      <c r="C5" s="16" t="s">
        <v>193</v>
      </c>
      <c r="D5" s="30" t="s">
        <v>193</v>
      </c>
      <c r="E5" s="6" t="str">
        <f aca="false">IF(C5=D5,"YES","NO")</f>
        <v>YES</v>
      </c>
      <c r="F5" s="6" t="s">
        <v>562</v>
      </c>
      <c r="G5" s="6"/>
      <c r="H5" s="6" t="s">
        <v>489</v>
      </c>
    </row>
    <row r="6" customFormat="false" ht="39.75" hidden="false" customHeight="true" outlineLevel="0" collapsed="false">
      <c r="A6" s="6" t="s">
        <v>197</v>
      </c>
      <c r="B6" s="6" t="s">
        <v>198</v>
      </c>
      <c r="C6" s="16" t="s">
        <v>193</v>
      </c>
      <c r="D6" s="30" t="s">
        <v>193</v>
      </c>
      <c r="E6" s="6" t="str">
        <f aca="false">IF(C6=D6,"YES","NO")</f>
        <v>YES</v>
      </c>
      <c r="F6" s="6" t="s">
        <v>562</v>
      </c>
      <c r="G6" s="6"/>
      <c r="H6" s="6" t="s">
        <v>489</v>
      </c>
    </row>
    <row r="7" customFormat="false" ht="39.75" hidden="false" customHeight="true" outlineLevel="0" collapsed="false">
      <c r="A7" s="6" t="s">
        <v>201</v>
      </c>
      <c r="B7" s="6" t="s">
        <v>202</v>
      </c>
      <c r="C7" s="16" t="s">
        <v>193</v>
      </c>
      <c r="D7" s="30" t="s">
        <v>193</v>
      </c>
      <c r="E7" s="6" t="str">
        <f aca="false">IF(C7=D7,"YES","NO")</f>
        <v>YES</v>
      </c>
      <c r="F7" s="6" t="s">
        <v>562</v>
      </c>
      <c r="G7" s="6"/>
      <c r="H7" s="6" t="s">
        <v>489</v>
      </c>
    </row>
    <row r="8" customFormat="false" ht="39.75" hidden="false" customHeight="true" outlineLevel="0" collapsed="false">
      <c r="A8" s="6" t="s">
        <v>205</v>
      </c>
      <c r="B8" s="6" t="s">
        <v>206</v>
      </c>
      <c r="C8" s="16" t="s">
        <v>193</v>
      </c>
      <c r="D8" s="30" t="s">
        <v>193</v>
      </c>
      <c r="E8" s="6" t="str">
        <f aca="false">IF(C8=D8,"YES","NO")</f>
        <v>YES</v>
      </c>
      <c r="F8" s="6" t="s">
        <v>562</v>
      </c>
      <c r="G8" s="6"/>
      <c r="H8" s="6" t="s">
        <v>489</v>
      </c>
    </row>
    <row r="9" customFormat="false" ht="39.75" hidden="false" customHeight="true" outlineLevel="0" collapsed="false">
      <c r="A9" s="6" t="s">
        <v>209</v>
      </c>
      <c r="B9" s="6" t="s">
        <v>210</v>
      </c>
      <c r="C9" s="16" t="s">
        <v>193</v>
      </c>
      <c r="D9" s="30" t="s">
        <v>193</v>
      </c>
      <c r="E9" s="6" t="str">
        <f aca="false">IF(C9=D9,"YES","NO")</f>
        <v>YES</v>
      </c>
      <c r="F9" s="6" t="s">
        <v>562</v>
      </c>
      <c r="G9" s="6"/>
      <c r="H9" s="6" t="s">
        <v>489</v>
      </c>
    </row>
    <row r="10" customFormat="false" ht="39.75" hidden="false" customHeight="true" outlineLevel="0" collapsed="false">
      <c r="A10" s="6" t="s">
        <v>214</v>
      </c>
      <c r="B10" s="6" t="s">
        <v>215</v>
      </c>
      <c r="C10" s="16" t="s">
        <v>193</v>
      </c>
      <c r="D10" s="30" t="s">
        <v>193</v>
      </c>
      <c r="E10" s="6" t="str">
        <f aca="false">IF(C10=D10,"YES","NO")</f>
        <v>YES</v>
      </c>
      <c r="F10" s="6" t="s">
        <v>562</v>
      </c>
      <c r="G10" s="6"/>
      <c r="H10" s="6" t="s">
        <v>489</v>
      </c>
    </row>
    <row r="11" customFormat="false" ht="39.75" hidden="false" customHeight="true" outlineLevel="0" collapsed="false">
      <c r="A11" s="6" t="s">
        <v>218</v>
      </c>
      <c r="B11" s="6" t="s">
        <v>219</v>
      </c>
      <c r="C11" s="16" t="s">
        <v>193</v>
      </c>
      <c r="D11" s="30" t="s">
        <v>193</v>
      </c>
      <c r="E11" s="6" t="str">
        <f aca="false">IF(C11=D11,"YES","NO")</f>
        <v>YES</v>
      </c>
      <c r="F11" s="6" t="s">
        <v>562</v>
      </c>
      <c r="G11" s="6"/>
      <c r="H11" s="6" t="s">
        <v>489</v>
      </c>
    </row>
    <row r="12" customFormat="false" ht="39.75" hidden="false" customHeight="true" outlineLevel="0" collapsed="false">
      <c r="A12" s="6" t="s">
        <v>490</v>
      </c>
      <c r="B12" s="6" t="s">
        <v>491</v>
      </c>
      <c r="C12" s="16" t="s">
        <v>193</v>
      </c>
      <c r="D12" s="30" t="s">
        <v>193</v>
      </c>
      <c r="E12" s="6" t="str">
        <f aca="false">IF(C12=D12,"YES","NO")</f>
        <v>YES</v>
      </c>
      <c r="F12" s="6" t="s">
        <v>563</v>
      </c>
      <c r="G12" s="6"/>
      <c r="H12" s="6" t="s">
        <v>489</v>
      </c>
    </row>
    <row r="13" customFormat="false" ht="39.75" hidden="false" customHeight="true" outlineLevel="0" collapsed="false">
      <c r="A13" s="6" t="s">
        <v>222</v>
      </c>
      <c r="B13" s="6" t="s">
        <v>223</v>
      </c>
      <c r="C13" s="16" t="s">
        <v>193</v>
      </c>
      <c r="D13" s="30" t="s">
        <v>193</v>
      </c>
      <c r="E13" s="6" t="str">
        <f aca="false">IF(C13=D13,"YES","NO")</f>
        <v>YES</v>
      </c>
      <c r="F13" s="6" t="s">
        <v>562</v>
      </c>
      <c r="G13" s="6"/>
      <c r="H13" s="6" t="s">
        <v>489</v>
      </c>
    </row>
    <row r="14" customFormat="false" ht="39.75" hidden="false" customHeight="true" outlineLevel="0" collapsed="false">
      <c r="A14" s="6" t="s">
        <v>493</v>
      </c>
      <c r="B14" s="6" t="s">
        <v>494</v>
      </c>
      <c r="C14" s="16" t="s">
        <v>193</v>
      </c>
      <c r="D14" s="30" t="s">
        <v>193</v>
      </c>
      <c r="E14" s="6" t="str">
        <f aca="false">IF(C14=D14,"YES","NO")</f>
        <v>YES</v>
      </c>
      <c r="F14" s="6" t="s">
        <v>564</v>
      </c>
      <c r="G14" s="6"/>
      <c r="H14" s="6" t="s">
        <v>489</v>
      </c>
    </row>
    <row r="15" customFormat="false" ht="39.75" hidden="false" customHeight="true" outlineLevel="0" collapsed="false">
      <c r="A15" s="6" t="s">
        <v>226</v>
      </c>
      <c r="B15" s="6" t="s">
        <v>227</v>
      </c>
      <c r="C15" s="16" t="s">
        <v>193</v>
      </c>
      <c r="D15" s="30" t="s">
        <v>193</v>
      </c>
      <c r="E15" s="6" t="str">
        <f aca="false">IF(C15=D15,"YES","NO")</f>
        <v>YES</v>
      </c>
      <c r="F15" s="6" t="s">
        <v>562</v>
      </c>
      <c r="G15" s="6"/>
      <c r="H15" s="6" t="s">
        <v>489</v>
      </c>
    </row>
    <row r="16" customFormat="false" ht="39.75" hidden="false" customHeight="true" outlineLevel="0" collapsed="false">
      <c r="A16" s="6" t="s">
        <v>496</v>
      </c>
      <c r="B16" s="6" t="s">
        <v>497</v>
      </c>
      <c r="C16" s="16" t="s">
        <v>193</v>
      </c>
      <c r="D16" s="30" t="s">
        <v>193</v>
      </c>
      <c r="E16" s="6" t="str">
        <f aca="false">IF(C16=D16,"YES","NO")</f>
        <v>YES</v>
      </c>
      <c r="F16" s="6" t="s">
        <v>565</v>
      </c>
      <c r="G16" s="6"/>
      <c r="H16" s="6" t="s">
        <v>489</v>
      </c>
    </row>
    <row r="17" customFormat="false" ht="39.75" hidden="false" customHeight="true" outlineLevel="0" collapsed="false">
      <c r="A17" s="6" t="s">
        <v>230</v>
      </c>
      <c r="B17" s="6" t="s">
        <v>231</v>
      </c>
      <c r="C17" s="16" t="s">
        <v>193</v>
      </c>
      <c r="D17" s="30" t="s">
        <v>193</v>
      </c>
      <c r="E17" s="6" t="str">
        <f aca="false">IF(C17=D17,"YES","NO")</f>
        <v>YES</v>
      </c>
      <c r="F17" s="6" t="s">
        <v>562</v>
      </c>
      <c r="G17" s="6"/>
      <c r="H17" s="6" t="s">
        <v>489</v>
      </c>
    </row>
    <row r="18" customFormat="false" ht="39.75" hidden="false" customHeight="true" outlineLevel="0" collapsed="false">
      <c r="A18" s="6" t="s">
        <v>234</v>
      </c>
      <c r="B18" s="6" t="s">
        <v>235</v>
      </c>
      <c r="C18" s="16" t="s">
        <v>193</v>
      </c>
      <c r="D18" s="30" t="s">
        <v>193</v>
      </c>
      <c r="E18" s="6" t="str">
        <f aca="false">IF(C18=D18,"YES","NO")</f>
        <v>YES</v>
      </c>
      <c r="F18" s="6" t="s">
        <v>562</v>
      </c>
      <c r="G18" s="6"/>
      <c r="H18" s="6" t="s">
        <v>489</v>
      </c>
    </row>
    <row r="19" customFormat="false" ht="39.75" hidden="false" customHeight="true" outlineLevel="0" collapsed="false">
      <c r="A19" s="6" t="s">
        <v>238</v>
      </c>
      <c r="B19" s="6" t="s">
        <v>239</v>
      </c>
      <c r="C19" s="17" t="s">
        <v>240</v>
      </c>
      <c r="D19" s="30" t="s">
        <v>240</v>
      </c>
      <c r="E19" s="6" t="str">
        <f aca="false">IF(C19=D19,"YES","NO")</f>
        <v>YES</v>
      </c>
      <c r="F19" s="6" t="s">
        <v>566</v>
      </c>
      <c r="G19" s="6" t="s">
        <v>261</v>
      </c>
      <c r="H19" s="6" t="s">
        <v>489</v>
      </c>
    </row>
    <row r="20" customFormat="false" ht="39.75" hidden="false" customHeight="true" outlineLevel="0" collapsed="false">
      <c r="A20" s="6" t="s">
        <v>244</v>
      </c>
      <c r="B20" s="6" t="s">
        <v>245</v>
      </c>
      <c r="C20" s="17" t="s">
        <v>240</v>
      </c>
      <c r="D20" s="30" t="s">
        <v>240</v>
      </c>
      <c r="E20" s="6" t="str">
        <f aca="false">IF(C20=D20,"YES","NO")</f>
        <v>YES</v>
      </c>
      <c r="F20" s="6" t="s">
        <v>566</v>
      </c>
      <c r="G20" s="6" t="s">
        <v>261</v>
      </c>
      <c r="H20" s="6" t="s">
        <v>489</v>
      </c>
    </row>
    <row r="21" customFormat="false" ht="39.75" hidden="false" customHeight="true" outlineLevel="0" collapsed="false">
      <c r="A21" s="6" t="s">
        <v>248</v>
      </c>
      <c r="B21" s="6" t="s">
        <v>249</v>
      </c>
      <c r="C21" s="17" t="s">
        <v>240</v>
      </c>
      <c r="D21" s="30" t="s">
        <v>240</v>
      </c>
      <c r="E21" s="6" t="str">
        <f aca="false">IF(C21=D21,"YES","NO")</f>
        <v>YES</v>
      </c>
      <c r="F21" s="6" t="s">
        <v>566</v>
      </c>
      <c r="G21" s="6" t="s">
        <v>261</v>
      </c>
      <c r="H21" s="6" t="s">
        <v>489</v>
      </c>
    </row>
    <row r="22" customFormat="false" ht="39.75" hidden="false" customHeight="true" outlineLevel="0" collapsed="false">
      <c r="A22" s="6" t="s">
        <v>252</v>
      </c>
      <c r="B22" s="6" t="s">
        <v>253</v>
      </c>
      <c r="C22" s="17" t="s">
        <v>240</v>
      </c>
      <c r="D22" s="30" t="s">
        <v>240</v>
      </c>
      <c r="E22" s="6" t="str">
        <f aca="false">IF(C22=D22,"YES","NO")</f>
        <v>YES</v>
      </c>
      <c r="F22" s="6" t="s">
        <v>566</v>
      </c>
      <c r="G22" s="6"/>
      <c r="H22" s="6" t="s">
        <v>489</v>
      </c>
    </row>
    <row r="23" customFormat="false" ht="39.75" hidden="false" customHeight="true" outlineLevel="0" collapsed="false">
      <c r="A23" s="6" t="s">
        <v>255</v>
      </c>
      <c r="B23" s="6" t="s">
        <v>256</v>
      </c>
      <c r="C23" s="17" t="s">
        <v>240</v>
      </c>
      <c r="D23" s="30" t="s">
        <v>240</v>
      </c>
      <c r="E23" s="6" t="str">
        <f aca="false">IF(C23=D23,"YES","NO")</f>
        <v>YES</v>
      </c>
      <c r="F23" s="6" t="s">
        <v>566</v>
      </c>
      <c r="G23" s="6"/>
      <c r="H23" s="6" t="s">
        <v>489</v>
      </c>
    </row>
    <row r="24" customFormat="false" ht="39.75" hidden="false" customHeight="true" outlineLevel="0" collapsed="false">
      <c r="A24" s="6" t="s">
        <v>258</v>
      </c>
      <c r="B24" s="6" t="s">
        <v>259</v>
      </c>
      <c r="C24" s="17" t="s">
        <v>240</v>
      </c>
      <c r="D24" s="30" t="s">
        <v>240</v>
      </c>
      <c r="E24" s="6" t="str">
        <f aca="false">IF(C24=D24,"YES","NO")</f>
        <v>YES</v>
      </c>
      <c r="F24" s="6" t="s">
        <v>566</v>
      </c>
      <c r="G24" s="6"/>
      <c r="H24" s="6" t="s">
        <v>489</v>
      </c>
    </row>
    <row r="25" customFormat="false" ht="39.75" hidden="false" customHeight="true" outlineLevel="0" collapsed="false">
      <c r="A25" s="6" t="s">
        <v>262</v>
      </c>
      <c r="B25" s="6" t="s">
        <v>263</v>
      </c>
      <c r="C25" s="17" t="s">
        <v>240</v>
      </c>
      <c r="D25" s="30" t="s">
        <v>240</v>
      </c>
      <c r="E25" s="6" t="str">
        <f aca="false">IF(C25=D25,"YES","NO")</f>
        <v>YES</v>
      </c>
      <c r="F25" s="6" t="s">
        <v>566</v>
      </c>
      <c r="G25" s="6"/>
      <c r="H25" s="6" t="s">
        <v>489</v>
      </c>
    </row>
    <row r="26" customFormat="false" ht="39.75" hidden="false" customHeight="true" outlineLevel="0" collapsed="false">
      <c r="A26" s="6" t="s">
        <v>265</v>
      </c>
      <c r="B26" s="6" t="s">
        <v>266</v>
      </c>
      <c r="C26" s="17" t="s">
        <v>240</v>
      </c>
      <c r="D26" s="30" t="s">
        <v>240</v>
      </c>
      <c r="E26" s="6" t="str">
        <f aca="false">IF(C26=D26,"YES","NO")</f>
        <v>YES</v>
      </c>
      <c r="F26" s="6" t="s">
        <v>566</v>
      </c>
      <c r="G26" s="6"/>
      <c r="H26" s="6" t="s">
        <v>489</v>
      </c>
    </row>
    <row r="27" customFormat="false" ht="39.75" hidden="false" customHeight="true" outlineLevel="0" collapsed="false">
      <c r="A27" s="6" t="s">
        <v>268</v>
      </c>
      <c r="B27" s="6" t="s">
        <v>269</v>
      </c>
      <c r="C27" s="31" t="s">
        <v>501</v>
      </c>
      <c r="D27" s="30" t="s">
        <v>240</v>
      </c>
      <c r="E27" s="6" t="str">
        <f aca="false">IF(C27=D27,"YES","NO")</f>
        <v>NO</v>
      </c>
      <c r="F27" s="6" t="s">
        <v>566</v>
      </c>
      <c r="G27" s="6"/>
      <c r="H27" s="6" t="s">
        <v>489</v>
      </c>
    </row>
    <row r="28" customFormat="false" ht="39.75" hidden="false" customHeight="true" outlineLevel="0" collapsed="false">
      <c r="A28" s="6" t="s">
        <v>271</v>
      </c>
      <c r="B28" s="6" t="s">
        <v>272</v>
      </c>
      <c r="C28" s="31" t="s">
        <v>501</v>
      </c>
      <c r="D28" s="30" t="s">
        <v>240</v>
      </c>
      <c r="E28" s="6" t="str">
        <f aca="false">IF(C28=D28,"YES","NO")</f>
        <v>NO</v>
      </c>
      <c r="F28" s="6" t="s">
        <v>566</v>
      </c>
      <c r="G28" s="6"/>
      <c r="H28" s="6" t="s">
        <v>489</v>
      </c>
    </row>
    <row r="30" customFormat="false" ht="15" hidden="false" customHeight="true" outlineLevel="0" collapsed="false">
      <c r="A30" s="10" t="s">
        <v>502</v>
      </c>
    </row>
    <row r="31" customFormat="false" ht="15" hidden="false" customHeight="true" outlineLevel="0" collapsed="false">
      <c r="A31" s="32" t="s">
        <v>503</v>
      </c>
      <c r="B31" s="33" t="n">
        <f aca="false">COUNTIF(C5:C28,"FACT")</f>
        <v>14</v>
      </c>
    </row>
    <row r="32" customFormat="false" ht="15" hidden="false" customHeight="true" outlineLevel="0" collapsed="false">
      <c r="A32" s="34" t="s">
        <v>504</v>
      </c>
      <c r="B32" s="35" t="n">
        <f aca="false">COUNTIF(C5:C28,"CLAIM")</f>
        <v>8</v>
      </c>
    </row>
    <row r="33" customFormat="false" ht="15" hidden="false" customHeight="true" outlineLevel="0" collapsed="false">
      <c r="A33" s="36" t="s">
        <v>505</v>
      </c>
      <c r="B33" s="37" t="n">
        <f aca="false">COUNTIF(C5:C28,"EVIDENCE")</f>
        <v>0</v>
      </c>
    </row>
    <row r="34" customFormat="false" ht="15" hidden="false" customHeight="true" outlineLevel="0" collapsed="false">
      <c r="A34" s="38" t="s">
        <v>506</v>
      </c>
      <c r="B34" s="39" t="n">
        <f aca="false">COUNTIF(C5:C28,"FACT")/(COUNTIF(C5:C28,"FACT")+COUNTIF(C5:C28,"CLAIM"))</f>
        <v>0.636363636363636</v>
      </c>
    </row>
    <row r="35" customFormat="false" ht="15" hidden="false" customHeight="true" outlineLevel="0" collapsed="false">
      <c r="A35" s="38" t="s">
        <v>507</v>
      </c>
      <c r="B35" s="39" t="n">
        <f aca="false">IF(B32=0,"N/A",B33/B32)</f>
        <v>0</v>
      </c>
    </row>
    <row r="36" customFormat="false" ht="15" hidden="false" customHeight="true" outlineLevel="0" collapsed="false">
      <c r="A36" s="21" t="s">
        <v>508</v>
      </c>
      <c r="B36" s="39" t="n">
        <f aca="false">COUNTIF(E5:E28,"YES")/COUNTA(E5:E28)</f>
        <v>0.916666666666667</v>
      </c>
    </row>
  </sheetData>
  <mergeCells count="3">
    <mergeCell ref="A1:H1"/>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5F3A"/>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2"/>
    <col collapsed="false" customWidth="true" hidden="false" outlineLevel="0" max="5" min="3" style="1" width="12"/>
    <col collapsed="false" customWidth="true" hidden="false" outlineLevel="0" max="6" min="6" style="1" width="40"/>
    <col collapsed="false" customWidth="true" hidden="false" outlineLevel="0" max="7" min="7" style="1" width="16"/>
    <col collapsed="false" customWidth="true" hidden="false" outlineLevel="0" max="8" min="8" style="1" width="24"/>
  </cols>
  <sheetData>
    <row r="1" customFormat="false" ht="27.75" hidden="false" customHeight="true" outlineLevel="0" collapsed="false">
      <c r="A1" s="26" t="s">
        <v>567</v>
      </c>
      <c r="B1" s="26"/>
      <c r="C1" s="26"/>
      <c r="D1" s="26"/>
      <c r="E1" s="26"/>
      <c r="F1" s="26"/>
      <c r="G1" s="26"/>
      <c r="H1" s="26"/>
    </row>
    <row r="2" customFormat="false" ht="15.75" hidden="false" customHeight="true" outlineLevel="0" collapsed="false">
      <c r="A2" s="27" t="s">
        <v>568</v>
      </c>
      <c r="B2" s="27"/>
      <c r="C2" s="27"/>
      <c r="D2" s="27"/>
      <c r="E2" s="27"/>
      <c r="F2" s="27"/>
      <c r="G2" s="27"/>
      <c r="H2" s="27"/>
    </row>
    <row r="3" customFormat="false" ht="19.5" hidden="false" customHeight="true" outlineLevel="0" collapsed="false">
      <c r="A3" s="28" t="s">
        <v>479</v>
      </c>
      <c r="B3" s="28"/>
      <c r="C3" s="28"/>
      <c r="D3" s="28"/>
      <c r="E3" s="28"/>
      <c r="F3" s="28"/>
      <c r="G3" s="28"/>
      <c r="H3" s="28"/>
    </row>
    <row r="4" customFormat="false" ht="27.75" hidden="false" customHeight="true" outlineLevel="0" collapsed="false">
      <c r="A4" s="29" t="s">
        <v>185</v>
      </c>
      <c r="B4" s="29" t="s">
        <v>480</v>
      </c>
      <c r="C4" s="29" t="s">
        <v>481</v>
      </c>
      <c r="D4" s="29" t="s">
        <v>482</v>
      </c>
      <c r="E4" s="29" t="s">
        <v>483</v>
      </c>
      <c r="F4" s="29" t="s">
        <v>484</v>
      </c>
      <c r="G4" s="29" t="s">
        <v>485</v>
      </c>
      <c r="H4" s="29" t="s">
        <v>486</v>
      </c>
    </row>
    <row r="5" customFormat="false" ht="39.75" hidden="false" customHeight="true" outlineLevel="0" collapsed="false">
      <c r="A5" s="6" t="s">
        <v>301</v>
      </c>
      <c r="B5" s="6" t="s">
        <v>302</v>
      </c>
      <c r="C5" s="16" t="s">
        <v>193</v>
      </c>
      <c r="D5" s="30" t="s">
        <v>193</v>
      </c>
      <c r="E5" s="6" t="str">
        <f aca="false">IF(C5=D5,"YES","NO")</f>
        <v>YES</v>
      </c>
      <c r="F5" s="6" t="s">
        <v>569</v>
      </c>
      <c r="G5" s="6"/>
      <c r="H5" s="6" t="s">
        <v>489</v>
      </c>
    </row>
    <row r="6" customFormat="false" ht="39.75" hidden="false" customHeight="true" outlineLevel="0" collapsed="false">
      <c r="A6" s="6" t="s">
        <v>304</v>
      </c>
      <c r="B6" s="6" t="s">
        <v>305</v>
      </c>
      <c r="C6" s="16" t="s">
        <v>193</v>
      </c>
      <c r="D6" s="30" t="s">
        <v>193</v>
      </c>
      <c r="E6" s="6" t="str">
        <f aca="false">IF(C6=D6,"YES","NO")</f>
        <v>YES</v>
      </c>
      <c r="F6" s="6" t="s">
        <v>569</v>
      </c>
      <c r="G6" s="6"/>
      <c r="H6" s="6" t="s">
        <v>489</v>
      </c>
    </row>
    <row r="7" customFormat="false" ht="39.75" hidden="false" customHeight="true" outlineLevel="0" collapsed="false">
      <c r="A7" s="6" t="s">
        <v>307</v>
      </c>
      <c r="B7" s="6" t="s">
        <v>308</v>
      </c>
      <c r="C7" s="16" t="s">
        <v>193</v>
      </c>
      <c r="D7" s="30" t="s">
        <v>193</v>
      </c>
      <c r="E7" s="6" t="str">
        <f aca="false">IF(C7=D7,"YES","NO")</f>
        <v>YES</v>
      </c>
      <c r="F7" s="6" t="s">
        <v>569</v>
      </c>
      <c r="G7" s="6"/>
      <c r="H7" s="6" t="s">
        <v>489</v>
      </c>
    </row>
    <row r="8" customFormat="false" ht="39.75" hidden="false" customHeight="true" outlineLevel="0" collapsed="false">
      <c r="A8" s="6" t="s">
        <v>310</v>
      </c>
      <c r="B8" s="6" t="s">
        <v>311</v>
      </c>
      <c r="C8" s="16" t="s">
        <v>193</v>
      </c>
      <c r="D8" s="30" t="s">
        <v>193</v>
      </c>
      <c r="E8" s="6" t="str">
        <f aca="false">IF(C8=D8,"YES","NO")</f>
        <v>YES</v>
      </c>
      <c r="F8" s="6" t="s">
        <v>569</v>
      </c>
      <c r="G8" s="6"/>
      <c r="H8" s="6" t="s">
        <v>489</v>
      </c>
    </row>
    <row r="9" customFormat="false" ht="39.75" hidden="false" customHeight="true" outlineLevel="0" collapsed="false">
      <c r="A9" s="6" t="s">
        <v>313</v>
      </c>
      <c r="B9" s="6" t="s">
        <v>314</v>
      </c>
      <c r="C9" s="16" t="s">
        <v>193</v>
      </c>
      <c r="D9" s="30" t="s">
        <v>193</v>
      </c>
      <c r="E9" s="6" t="str">
        <f aca="false">IF(C9=D9,"YES","NO")</f>
        <v>YES</v>
      </c>
      <c r="F9" s="6" t="s">
        <v>569</v>
      </c>
      <c r="G9" s="6"/>
      <c r="H9" s="6" t="s">
        <v>489</v>
      </c>
    </row>
    <row r="10" customFormat="false" ht="39.75" hidden="false" customHeight="true" outlineLevel="0" collapsed="false">
      <c r="A10" s="6" t="s">
        <v>316</v>
      </c>
      <c r="B10" s="6" t="s">
        <v>317</v>
      </c>
      <c r="C10" s="16" t="s">
        <v>193</v>
      </c>
      <c r="D10" s="30" t="s">
        <v>193</v>
      </c>
      <c r="E10" s="6" t="str">
        <f aca="false">IF(C10=D10,"YES","NO")</f>
        <v>YES</v>
      </c>
      <c r="F10" s="6" t="s">
        <v>569</v>
      </c>
      <c r="G10" s="6"/>
      <c r="H10" s="6" t="s">
        <v>489</v>
      </c>
    </row>
    <row r="11" customFormat="false" ht="39.75" hidden="false" customHeight="true" outlineLevel="0" collapsed="false">
      <c r="A11" s="6" t="s">
        <v>319</v>
      </c>
      <c r="B11" s="6" t="s">
        <v>320</v>
      </c>
      <c r="C11" s="16" t="s">
        <v>193</v>
      </c>
      <c r="D11" s="30" t="s">
        <v>193</v>
      </c>
      <c r="E11" s="6" t="str">
        <f aca="false">IF(C11=D11,"YES","NO")</f>
        <v>YES</v>
      </c>
      <c r="F11" s="6" t="s">
        <v>569</v>
      </c>
      <c r="G11" s="6"/>
      <c r="H11" s="6" t="s">
        <v>489</v>
      </c>
    </row>
    <row r="12" customFormat="false" ht="39.75" hidden="false" customHeight="true" outlineLevel="0" collapsed="false">
      <c r="A12" s="6" t="s">
        <v>322</v>
      </c>
      <c r="B12" s="6" t="s">
        <v>323</v>
      </c>
      <c r="C12" s="16" t="s">
        <v>193</v>
      </c>
      <c r="D12" s="30" t="s">
        <v>193</v>
      </c>
      <c r="E12" s="6" t="str">
        <f aca="false">IF(C12=D12,"YES","NO")</f>
        <v>YES</v>
      </c>
      <c r="F12" s="6" t="s">
        <v>569</v>
      </c>
      <c r="G12" s="6"/>
      <c r="H12" s="6" t="s">
        <v>489</v>
      </c>
    </row>
    <row r="13" customFormat="false" ht="39.75" hidden="false" customHeight="true" outlineLevel="0" collapsed="false">
      <c r="A13" s="6" t="s">
        <v>325</v>
      </c>
      <c r="B13" s="6" t="s">
        <v>326</v>
      </c>
      <c r="C13" s="16" t="s">
        <v>193</v>
      </c>
      <c r="D13" s="30" t="s">
        <v>193</v>
      </c>
      <c r="E13" s="6" t="str">
        <f aca="false">IF(C13=D13,"YES","NO")</f>
        <v>YES</v>
      </c>
      <c r="F13" s="6" t="s">
        <v>569</v>
      </c>
      <c r="G13" s="6"/>
      <c r="H13" s="6" t="s">
        <v>489</v>
      </c>
    </row>
    <row r="14" customFormat="false" ht="39.75" hidden="false" customHeight="true" outlineLevel="0" collapsed="false">
      <c r="A14" s="6" t="s">
        <v>328</v>
      </c>
      <c r="B14" s="6" t="s">
        <v>329</v>
      </c>
      <c r="C14" s="16" t="s">
        <v>193</v>
      </c>
      <c r="D14" s="30" t="s">
        <v>193</v>
      </c>
      <c r="E14" s="6" t="str">
        <f aca="false">IF(C14=D14,"YES","NO")</f>
        <v>YES</v>
      </c>
      <c r="F14" s="6" t="s">
        <v>569</v>
      </c>
      <c r="G14" s="6"/>
      <c r="H14" s="6" t="s">
        <v>489</v>
      </c>
    </row>
    <row r="15" customFormat="false" ht="39.75" hidden="false" customHeight="true" outlineLevel="0" collapsed="false">
      <c r="A15" s="6" t="s">
        <v>331</v>
      </c>
      <c r="B15" s="6" t="s">
        <v>332</v>
      </c>
      <c r="C15" s="16" t="s">
        <v>193</v>
      </c>
      <c r="D15" s="30" t="s">
        <v>193</v>
      </c>
      <c r="E15" s="6" t="str">
        <f aca="false">IF(C15=D15,"YES","NO")</f>
        <v>YES</v>
      </c>
      <c r="F15" s="6" t="s">
        <v>569</v>
      </c>
      <c r="G15" s="6"/>
      <c r="H15" s="6" t="s">
        <v>489</v>
      </c>
    </row>
    <row r="16" customFormat="false" ht="39.75" hidden="false" customHeight="true" outlineLevel="0" collapsed="false">
      <c r="A16" s="6" t="s">
        <v>334</v>
      </c>
      <c r="B16" s="6" t="s">
        <v>335</v>
      </c>
      <c r="C16" s="19" t="s">
        <v>276</v>
      </c>
      <c r="D16" s="30" t="s">
        <v>276</v>
      </c>
      <c r="E16" s="6" t="str">
        <f aca="false">IF(C16=D16,"YES","NO")</f>
        <v>YES</v>
      </c>
      <c r="F16" s="6" t="s">
        <v>570</v>
      </c>
      <c r="G16" s="6"/>
      <c r="H16" s="6" t="s">
        <v>489</v>
      </c>
    </row>
    <row r="17" customFormat="false" ht="39.75" hidden="false" customHeight="true" outlineLevel="0" collapsed="false">
      <c r="A17" s="6" t="s">
        <v>339</v>
      </c>
      <c r="B17" s="6" t="s">
        <v>340</v>
      </c>
      <c r="C17" s="19" t="s">
        <v>276</v>
      </c>
      <c r="D17" s="30" t="s">
        <v>276</v>
      </c>
      <c r="E17" s="6" t="str">
        <f aca="false">IF(C17=D17,"YES","NO")</f>
        <v>YES</v>
      </c>
      <c r="F17" s="6" t="s">
        <v>571</v>
      </c>
      <c r="G17" s="6"/>
      <c r="H17" s="6" t="s">
        <v>489</v>
      </c>
    </row>
    <row r="18" customFormat="false" ht="39.75" hidden="false" customHeight="true" outlineLevel="0" collapsed="false">
      <c r="A18" s="6" t="s">
        <v>343</v>
      </c>
      <c r="B18" s="6" t="s">
        <v>344</v>
      </c>
      <c r="C18" s="19" t="s">
        <v>276</v>
      </c>
      <c r="D18" s="30" t="s">
        <v>276</v>
      </c>
      <c r="E18" s="6" t="str">
        <f aca="false">IF(C18=D18,"YES","NO")</f>
        <v>YES</v>
      </c>
      <c r="F18" s="6" t="s">
        <v>572</v>
      </c>
      <c r="G18" s="6"/>
      <c r="H18" s="6" t="s">
        <v>489</v>
      </c>
    </row>
    <row r="19" customFormat="false" ht="39.75" hidden="false" customHeight="true" outlineLevel="0" collapsed="false">
      <c r="A19" s="6" t="s">
        <v>347</v>
      </c>
      <c r="B19" s="6" t="s">
        <v>348</v>
      </c>
      <c r="C19" s="19" t="s">
        <v>276</v>
      </c>
      <c r="D19" s="30" t="s">
        <v>276</v>
      </c>
      <c r="E19" s="6" t="str">
        <f aca="false">IF(C19=D19,"YES","NO")</f>
        <v>YES</v>
      </c>
      <c r="F19" s="6" t="s">
        <v>573</v>
      </c>
      <c r="G19" s="6"/>
      <c r="H19" s="6" t="s">
        <v>489</v>
      </c>
    </row>
    <row r="20" customFormat="false" ht="39.75" hidden="false" customHeight="true" outlineLevel="0" collapsed="false">
      <c r="A20" s="6" t="s">
        <v>351</v>
      </c>
      <c r="B20" s="6" t="s">
        <v>314</v>
      </c>
      <c r="C20" s="19" t="s">
        <v>276</v>
      </c>
      <c r="D20" s="30" t="s">
        <v>276</v>
      </c>
      <c r="E20" s="6" t="str">
        <f aca="false">IF(C20=D20,"YES","NO")</f>
        <v>YES</v>
      </c>
      <c r="F20" s="6" t="s">
        <v>574</v>
      </c>
      <c r="G20" s="6"/>
      <c r="H20" s="6" t="s">
        <v>489</v>
      </c>
    </row>
    <row r="21" customFormat="false" ht="39.75" hidden="false" customHeight="true" outlineLevel="0" collapsed="false">
      <c r="A21" s="6" t="s">
        <v>353</v>
      </c>
      <c r="B21" s="6" t="s">
        <v>354</v>
      </c>
      <c r="C21" s="19" t="s">
        <v>276</v>
      </c>
      <c r="D21" s="30" t="s">
        <v>276</v>
      </c>
      <c r="E21" s="6" t="str">
        <f aca="false">IF(C21=D21,"YES","NO")</f>
        <v>YES</v>
      </c>
      <c r="F21" s="6" t="s">
        <v>575</v>
      </c>
      <c r="G21" s="6"/>
      <c r="H21" s="6" t="s">
        <v>489</v>
      </c>
    </row>
    <row r="22" customFormat="false" ht="39.75" hidden="false" customHeight="true" outlineLevel="0" collapsed="false">
      <c r="A22" s="6" t="s">
        <v>357</v>
      </c>
      <c r="B22" s="6" t="s">
        <v>358</v>
      </c>
      <c r="C22" s="17" t="s">
        <v>240</v>
      </c>
      <c r="D22" s="30" t="s">
        <v>240</v>
      </c>
      <c r="E22" s="6" t="str">
        <f aca="false">IF(C22=D22,"YES","NO")</f>
        <v>YES</v>
      </c>
      <c r="F22" s="6" t="s">
        <v>576</v>
      </c>
      <c r="G22" s="6"/>
      <c r="H22" s="6" t="s">
        <v>489</v>
      </c>
    </row>
    <row r="23" customFormat="false" ht="39.75" hidden="false" customHeight="true" outlineLevel="0" collapsed="false">
      <c r="A23" s="6" t="s">
        <v>360</v>
      </c>
      <c r="B23" s="6" t="s">
        <v>361</v>
      </c>
      <c r="C23" s="17" t="s">
        <v>240</v>
      </c>
      <c r="D23" s="30" t="s">
        <v>240</v>
      </c>
      <c r="E23" s="6" t="str">
        <f aca="false">IF(C23=D23,"YES","NO")</f>
        <v>YES</v>
      </c>
      <c r="F23" s="6" t="s">
        <v>576</v>
      </c>
      <c r="G23" s="6"/>
      <c r="H23" s="6" t="s">
        <v>489</v>
      </c>
    </row>
    <row r="24" customFormat="false" ht="39.75" hidden="false" customHeight="true" outlineLevel="0" collapsed="false">
      <c r="A24" s="6" t="s">
        <v>363</v>
      </c>
      <c r="B24" s="6" t="s">
        <v>364</v>
      </c>
      <c r="C24" s="17" t="s">
        <v>240</v>
      </c>
      <c r="D24" s="30" t="s">
        <v>240</v>
      </c>
      <c r="E24" s="6" t="str">
        <f aca="false">IF(C24=D24,"YES","NO")</f>
        <v>YES</v>
      </c>
      <c r="F24" s="6" t="s">
        <v>576</v>
      </c>
      <c r="G24" s="6"/>
      <c r="H24" s="6" t="s">
        <v>489</v>
      </c>
    </row>
    <row r="25" customFormat="false" ht="39.75" hidden="false" customHeight="true" outlineLevel="0" collapsed="false">
      <c r="A25" s="6" t="s">
        <v>366</v>
      </c>
      <c r="B25" s="6" t="s">
        <v>367</v>
      </c>
      <c r="C25" s="17" t="s">
        <v>240</v>
      </c>
      <c r="D25" s="30" t="s">
        <v>240</v>
      </c>
      <c r="E25" s="6" t="str">
        <f aca="false">IF(C25=D25,"YES","NO")</f>
        <v>YES</v>
      </c>
      <c r="F25" s="6" t="s">
        <v>576</v>
      </c>
      <c r="G25" s="6"/>
      <c r="H25" s="6" t="s">
        <v>489</v>
      </c>
    </row>
    <row r="26" customFormat="false" ht="39.75" hidden="false" customHeight="true" outlineLevel="0" collapsed="false">
      <c r="A26" s="6" t="s">
        <v>577</v>
      </c>
      <c r="B26" s="6" t="s">
        <v>578</v>
      </c>
      <c r="C26" s="16" t="s">
        <v>193</v>
      </c>
      <c r="D26" s="30" t="s">
        <v>193</v>
      </c>
      <c r="E26" s="6" t="str">
        <f aca="false">IF(C26=D26,"YES","NO")</f>
        <v>YES</v>
      </c>
      <c r="F26" s="6" t="s">
        <v>579</v>
      </c>
      <c r="G26" s="6"/>
      <c r="H26" s="6" t="s">
        <v>489</v>
      </c>
    </row>
    <row r="27" customFormat="false" ht="39.75" hidden="false" customHeight="true" outlineLevel="0" collapsed="false">
      <c r="A27" s="6" t="s">
        <v>580</v>
      </c>
      <c r="B27" s="6" t="s">
        <v>581</v>
      </c>
      <c r="C27" s="16" t="s">
        <v>193</v>
      </c>
      <c r="D27" s="30" t="s">
        <v>193</v>
      </c>
      <c r="E27" s="6" t="str">
        <f aca="false">IF(C27=D27,"YES","NO")</f>
        <v>YES</v>
      </c>
      <c r="F27" s="6" t="s">
        <v>582</v>
      </c>
      <c r="G27" s="6"/>
      <c r="H27" s="6" t="s">
        <v>489</v>
      </c>
    </row>
    <row r="28" customFormat="false" ht="39.75" hidden="false" customHeight="true" outlineLevel="0" collapsed="false">
      <c r="A28" s="6" t="s">
        <v>583</v>
      </c>
      <c r="B28" s="6" t="s">
        <v>584</v>
      </c>
      <c r="C28" s="16" t="s">
        <v>193</v>
      </c>
      <c r="D28" s="30" t="s">
        <v>193</v>
      </c>
      <c r="E28" s="6" t="str">
        <f aca="false">IF(C28=D28,"YES","NO")</f>
        <v>YES</v>
      </c>
      <c r="F28" s="6" t="s">
        <v>585</v>
      </c>
      <c r="G28" s="6"/>
      <c r="H28" s="6" t="s">
        <v>489</v>
      </c>
    </row>
    <row r="29" customFormat="false" ht="39.75" hidden="false" customHeight="true" outlineLevel="0" collapsed="false">
      <c r="A29" s="6" t="s">
        <v>586</v>
      </c>
      <c r="B29" s="6" t="s">
        <v>587</v>
      </c>
      <c r="C29" s="16" t="s">
        <v>193</v>
      </c>
      <c r="D29" s="30" t="s">
        <v>193</v>
      </c>
      <c r="E29" s="6" t="str">
        <f aca="false">IF(C29=D29,"YES","NO")</f>
        <v>YES</v>
      </c>
      <c r="F29" s="6" t="s">
        <v>588</v>
      </c>
      <c r="G29" s="6"/>
      <c r="H29" s="6" t="s">
        <v>489</v>
      </c>
    </row>
    <row r="30" customFormat="false" ht="39.75" hidden="false" customHeight="true" outlineLevel="0" collapsed="false">
      <c r="A30" s="6" t="s">
        <v>589</v>
      </c>
      <c r="B30" s="6" t="s">
        <v>590</v>
      </c>
      <c r="C30" s="16" t="s">
        <v>193</v>
      </c>
      <c r="D30" s="30" t="s">
        <v>193</v>
      </c>
      <c r="E30" s="6" t="str">
        <f aca="false">IF(C30=D30,"YES","NO")</f>
        <v>YES</v>
      </c>
      <c r="F30" s="6" t="s">
        <v>591</v>
      </c>
      <c r="G30" s="6"/>
      <c r="H30" s="6" t="s">
        <v>489</v>
      </c>
    </row>
    <row r="31" customFormat="false" ht="39.75" hidden="false" customHeight="true" outlineLevel="0" collapsed="false">
      <c r="A31" s="6" t="s">
        <v>592</v>
      </c>
      <c r="B31" s="6" t="s">
        <v>593</v>
      </c>
      <c r="C31" s="19" t="s">
        <v>276</v>
      </c>
      <c r="D31" s="30" t="s">
        <v>276</v>
      </c>
      <c r="E31" s="6" t="str">
        <f aca="false">IF(C31=D31,"YES","NO")</f>
        <v>YES</v>
      </c>
      <c r="F31" s="6" t="s">
        <v>594</v>
      </c>
      <c r="G31" s="6"/>
      <c r="H31" s="6" t="s">
        <v>489</v>
      </c>
    </row>
    <row r="32" customFormat="false" ht="39.75" hidden="false" customHeight="true" outlineLevel="0" collapsed="false">
      <c r="A32" s="6" t="s">
        <v>595</v>
      </c>
      <c r="B32" s="6" t="s">
        <v>596</v>
      </c>
      <c r="C32" s="19" t="s">
        <v>276</v>
      </c>
      <c r="D32" s="30" t="s">
        <v>276</v>
      </c>
      <c r="E32" s="6" t="str">
        <f aca="false">IF(C32=D32,"YES","NO")</f>
        <v>YES</v>
      </c>
      <c r="F32" s="6" t="s">
        <v>597</v>
      </c>
      <c r="G32" s="6"/>
      <c r="H32" s="6" t="s">
        <v>489</v>
      </c>
    </row>
    <row r="34" customFormat="false" ht="15" hidden="false" customHeight="true" outlineLevel="0" collapsed="false">
      <c r="A34" s="10" t="s">
        <v>502</v>
      </c>
    </row>
    <row r="35" customFormat="false" ht="15" hidden="false" customHeight="true" outlineLevel="0" collapsed="false">
      <c r="A35" s="32" t="s">
        <v>503</v>
      </c>
      <c r="B35" s="33" t="n">
        <f aca="false">COUNTIF(C5:C32,"FACT")</f>
        <v>16</v>
      </c>
    </row>
    <row r="36" customFormat="false" ht="15" hidden="false" customHeight="true" outlineLevel="0" collapsed="false">
      <c r="A36" s="34" t="s">
        <v>504</v>
      </c>
      <c r="B36" s="35" t="n">
        <f aca="false">COUNTIF(C5:C32,"CLAIM")</f>
        <v>4</v>
      </c>
    </row>
    <row r="37" customFormat="false" ht="15" hidden="false" customHeight="true" outlineLevel="0" collapsed="false">
      <c r="A37" s="36" t="s">
        <v>505</v>
      </c>
      <c r="B37" s="37" t="n">
        <f aca="false">COUNTIF(C5:C32,"EVIDENCE")</f>
        <v>8</v>
      </c>
    </row>
    <row r="38" customFormat="false" ht="15" hidden="false" customHeight="true" outlineLevel="0" collapsed="false">
      <c r="A38" s="38" t="s">
        <v>506</v>
      </c>
      <c r="B38" s="39" t="n">
        <f aca="false">COUNTIF(C5:C32,"FACT")/(COUNTIF(C5:C32,"FACT")+COUNTIF(C5:C32,"CLAIM"))</f>
        <v>0.8</v>
      </c>
    </row>
    <row r="39" customFormat="false" ht="15" hidden="false" customHeight="true" outlineLevel="0" collapsed="false">
      <c r="A39" s="38" t="s">
        <v>507</v>
      </c>
      <c r="B39" s="39" t="n">
        <f aca="false">IF(B36=0,"N/A",B37/B36)</f>
        <v>2</v>
      </c>
    </row>
    <row r="40" customFormat="false" ht="15" hidden="false" customHeight="true" outlineLevel="0" collapsed="false">
      <c r="A40" s="21" t="s">
        <v>508</v>
      </c>
      <c r="B40" s="39" t="n">
        <f aca="false">COUNTIF(E5:E32,"YES")/COUNTA(E5:E32)</f>
        <v>1</v>
      </c>
    </row>
  </sheetData>
  <mergeCells count="3">
    <mergeCell ref="A1:H1"/>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2D12"/>
    <pageSetUpPr fitToPage="false"/>
  </sheetPr>
  <dimension ref="A1:H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2"/>
    <col collapsed="false" customWidth="true" hidden="false" outlineLevel="0" max="5" min="3" style="1" width="12"/>
    <col collapsed="false" customWidth="true" hidden="false" outlineLevel="0" max="6" min="6" style="1" width="40"/>
    <col collapsed="false" customWidth="true" hidden="false" outlineLevel="0" max="7" min="7" style="1" width="16"/>
    <col collapsed="false" customWidth="true" hidden="false" outlineLevel="0" max="8" min="8" style="1" width="24"/>
  </cols>
  <sheetData>
    <row r="1" customFormat="false" ht="27.75" hidden="false" customHeight="true" outlineLevel="0" collapsed="false">
      <c r="A1" s="26" t="s">
        <v>598</v>
      </c>
      <c r="B1" s="26"/>
      <c r="C1" s="26"/>
      <c r="D1" s="26"/>
      <c r="E1" s="26"/>
      <c r="F1" s="26"/>
      <c r="G1" s="26"/>
      <c r="H1" s="26"/>
    </row>
    <row r="2" customFormat="false" ht="15.75" hidden="false" customHeight="true" outlineLevel="0" collapsed="false">
      <c r="A2" s="27" t="s">
        <v>599</v>
      </c>
      <c r="B2" s="27"/>
      <c r="C2" s="27"/>
      <c r="D2" s="27"/>
      <c r="E2" s="27"/>
      <c r="F2" s="27"/>
      <c r="G2" s="27"/>
      <c r="H2" s="27"/>
    </row>
    <row r="3" customFormat="false" ht="19.5" hidden="false" customHeight="true" outlineLevel="0" collapsed="false">
      <c r="A3" s="40" t="s">
        <v>511</v>
      </c>
      <c r="B3" s="40"/>
      <c r="C3" s="40"/>
      <c r="D3" s="40"/>
      <c r="E3" s="40"/>
      <c r="F3" s="40"/>
      <c r="G3" s="40"/>
      <c r="H3" s="40"/>
    </row>
    <row r="4" customFormat="false" ht="27.75" hidden="false" customHeight="true" outlineLevel="0" collapsed="false">
      <c r="A4" s="41" t="s">
        <v>185</v>
      </c>
      <c r="B4" s="41" t="s">
        <v>480</v>
      </c>
      <c r="C4" s="41" t="s">
        <v>481</v>
      </c>
      <c r="D4" s="41" t="s">
        <v>482</v>
      </c>
      <c r="E4" s="41" t="s">
        <v>483</v>
      </c>
      <c r="F4" s="41" t="s">
        <v>484</v>
      </c>
      <c r="G4" s="41" t="s">
        <v>485</v>
      </c>
      <c r="H4" s="41" t="s">
        <v>486</v>
      </c>
    </row>
    <row r="5" customFormat="false" ht="39.75" hidden="false" customHeight="true" outlineLevel="0" collapsed="false">
      <c r="A5" s="6" t="s">
        <v>301</v>
      </c>
      <c r="B5" s="6" t="s">
        <v>302</v>
      </c>
      <c r="C5" s="16" t="s">
        <v>193</v>
      </c>
      <c r="D5" s="30" t="s">
        <v>193</v>
      </c>
      <c r="E5" s="6" t="str">
        <f aca="false">IF(C5=D5,"YES","NO")</f>
        <v>YES</v>
      </c>
      <c r="F5" s="6" t="s">
        <v>569</v>
      </c>
      <c r="G5" s="6"/>
      <c r="H5" s="6" t="s">
        <v>489</v>
      </c>
    </row>
    <row r="6" customFormat="false" ht="39.75" hidden="false" customHeight="true" outlineLevel="0" collapsed="false">
      <c r="A6" s="6" t="s">
        <v>304</v>
      </c>
      <c r="B6" s="6" t="s">
        <v>305</v>
      </c>
      <c r="C6" s="16" t="s">
        <v>193</v>
      </c>
      <c r="D6" s="30" t="s">
        <v>193</v>
      </c>
      <c r="E6" s="6" t="str">
        <f aca="false">IF(C6=D6,"YES","NO")</f>
        <v>YES</v>
      </c>
      <c r="F6" s="6" t="s">
        <v>569</v>
      </c>
      <c r="G6" s="6"/>
      <c r="H6" s="6" t="s">
        <v>489</v>
      </c>
    </row>
    <row r="7" customFormat="false" ht="39.75" hidden="false" customHeight="true" outlineLevel="0" collapsed="false">
      <c r="A7" s="6" t="s">
        <v>307</v>
      </c>
      <c r="B7" s="6" t="s">
        <v>308</v>
      </c>
      <c r="C7" s="16" t="s">
        <v>193</v>
      </c>
      <c r="D7" s="30" t="s">
        <v>193</v>
      </c>
      <c r="E7" s="6" t="str">
        <f aca="false">IF(C7=D7,"YES","NO")</f>
        <v>YES</v>
      </c>
      <c r="F7" s="6" t="s">
        <v>569</v>
      </c>
      <c r="G7" s="6"/>
      <c r="H7" s="6" t="s">
        <v>489</v>
      </c>
    </row>
    <row r="8" customFormat="false" ht="39.75" hidden="false" customHeight="true" outlineLevel="0" collapsed="false">
      <c r="A8" s="6" t="s">
        <v>310</v>
      </c>
      <c r="B8" s="6" t="s">
        <v>311</v>
      </c>
      <c r="C8" s="16" t="s">
        <v>193</v>
      </c>
      <c r="D8" s="30" t="s">
        <v>193</v>
      </c>
      <c r="E8" s="6" t="str">
        <f aca="false">IF(C8=D8,"YES","NO")</f>
        <v>YES</v>
      </c>
      <c r="F8" s="6" t="s">
        <v>569</v>
      </c>
      <c r="G8" s="6"/>
      <c r="H8" s="6" t="s">
        <v>489</v>
      </c>
    </row>
    <row r="9" customFormat="false" ht="39.75" hidden="false" customHeight="true" outlineLevel="0" collapsed="false">
      <c r="A9" s="6" t="s">
        <v>313</v>
      </c>
      <c r="B9" s="6" t="s">
        <v>314</v>
      </c>
      <c r="C9" s="16" t="s">
        <v>193</v>
      </c>
      <c r="D9" s="30" t="s">
        <v>193</v>
      </c>
      <c r="E9" s="6" t="str">
        <f aca="false">IF(C9=D9,"YES","NO")</f>
        <v>YES</v>
      </c>
      <c r="F9" s="6" t="s">
        <v>569</v>
      </c>
      <c r="G9" s="6"/>
      <c r="H9" s="6" t="s">
        <v>489</v>
      </c>
    </row>
    <row r="10" customFormat="false" ht="39.75" hidden="false" customHeight="true" outlineLevel="0" collapsed="false">
      <c r="A10" s="6" t="s">
        <v>316</v>
      </c>
      <c r="B10" s="6" t="s">
        <v>317</v>
      </c>
      <c r="C10" s="16" t="s">
        <v>193</v>
      </c>
      <c r="D10" s="30" t="s">
        <v>193</v>
      </c>
      <c r="E10" s="6" t="str">
        <f aca="false">IF(C10=D10,"YES","NO")</f>
        <v>YES</v>
      </c>
      <c r="F10" s="6" t="s">
        <v>569</v>
      </c>
      <c r="G10" s="6"/>
      <c r="H10" s="6" t="s">
        <v>489</v>
      </c>
    </row>
    <row r="11" customFormat="false" ht="39.75" hidden="false" customHeight="true" outlineLevel="0" collapsed="false">
      <c r="A11" s="6" t="s">
        <v>319</v>
      </c>
      <c r="B11" s="6" t="s">
        <v>320</v>
      </c>
      <c r="C11" s="16" t="s">
        <v>193</v>
      </c>
      <c r="D11" s="30" t="s">
        <v>193</v>
      </c>
      <c r="E11" s="6" t="str">
        <f aca="false">IF(C11=D11,"YES","NO")</f>
        <v>YES</v>
      </c>
      <c r="F11" s="6" t="s">
        <v>569</v>
      </c>
      <c r="G11" s="6"/>
      <c r="H11" s="6" t="s">
        <v>489</v>
      </c>
    </row>
    <row r="12" customFormat="false" ht="39.75" hidden="false" customHeight="true" outlineLevel="0" collapsed="false">
      <c r="A12" s="6" t="s">
        <v>322</v>
      </c>
      <c r="B12" s="6" t="s">
        <v>323</v>
      </c>
      <c r="C12" s="16" t="s">
        <v>193</v>
      </c>
      <c r="D12" s="30" t="s">
        <v>193</v>
      </c>
      <c r="E12" s="6" t="str">
        <f aca="false">IF(C12=D12,"YES","NO")</f>
        <v>YES</v>
      </c>
      <c r="F12" s="6" t="s">
        <v>569</v>
      </c>
      <c r="G12" s="6"/>
      <c r="H12" s="6" t="s">
        <v>489</v>
      </c>
    </row>
    <row r="13" customFormat="false" ht="39.75" hidden="false" customHeight="true" outlineLevel="0" collapsed="false">
      <c r="A13" s="6" t="s">
        <v>325</v>
      </c>
      <c r="B13" s="6" t="s">
        <v>326</v>
      </c>
      <c r="C13" s="16" t="s">
        <v>193</v>
      </c>
      <c r="D13" s="30" t="s">
        <v>193</v>
      </c>
      <c r="E13" s="6" t="str">
        <f aca="false">IF(C13=D13,"YES","NO")</f>
        <v>YES</v>
      </c>
      <c r="F13" s="6" t="s">
        <v>569</v>
      </c>
      <c r="G13" s="6"/>
      <c r="H13" s="6" t="s">
        <v>489</v>
      </c>
    </row>
    <row r="14" customFormat="false" ht="39.75" hidden="false" customHeight="true" outlineLevel="0" collapsed="false">
      <c r="A14" s="6" t="s">
        <v>328</v>
      </c>
      <c r="B14" s="6" t="s">
        <v>329</v>
      </c>
      <c r="C14" s="16" t="s">
        <v>193</v>
      </c>
      <c r="D14" s="30" t="s">
        <v>193</v>
      </c>
      <c r="E14" s="6" t="str">
        <f aca="false">IF(C14=D14,"YES","NO")</f>
        <v>YES</v>
      </c>
      <c r="F14" s="6" t="s">
        <v>569</v>
      </c>
      <c r="G14" s="6"/>
      <c r="H14" s="6" t="s">
        <v>489</v>
      </c>
    </row>
    <row r="15" customFormat="false" ht="39.75" hidden="false" customHeight="true" outlineLevel="0" collapsed="false">
      <c r="A15" s="6" t="s">
        <v>331</v>
      </c>
      <c r="B15" s="6" t="s">
        <v>332</v>
      </c>
      <c r="C15" s="16" t="s">
        <v>193</v>
      </c>
      <c r="D15" s="30" t="s">
        <v>193</v>
      </c>
      <c r="E15" s="6" t="str">
        <f aca="false">IF(C15=D15,"YES","NO")</f>
        <v>YES</v>
      </c>
      <c r="F15" s="6" t="s">
        <v>569</v>
      </c>
      <c r="G15" s="6"/>
      <c r="H15" s="6" t="s">
        <v>489</v>
      </c>
    </row>
    <row r="16" customFormat="false" ht="39.75" hidden="false" customHeight="true" outlineLevel="0" collapsed="false">
      <c r="A16" s="6" t="s">
        <v>334</v>
      </c>
      <c r="B16" s="6" t="s">
        <v>335</v>
      </c>
      <c r="C16" s="19" t="s">
        <v>276</v>
      </c>
      <c r="D16" s="30" t="s">
        <v>276</v>
      </c>
      <c r="E16" s="6" t="str">
        <f aca="false">IF(C16=D16,"YES","NO")</f>
        <v>YES</v>
      </c>
      <c r="F16" s="6" t="s">
        <v>570</v>
      </c>
      <c r="G16" s="6"/>
      <c r="H16" s="6" t="s">
        <v>489</v>
      </c>
    </row>
    <row r="17" customFormat="false" ht="39.75" hidden="false" customHeight="true" outlineLevel="0" collapsed="false">
      <c r="A17" s="6" t="s">
        <v>339</v>
      </c>
      <c r="B17" s="6" t="s">
        <v>340</v>
      </c>
      <c r="C17" s="19" t="s">
        <v>276</v>
      </c>
      <c r="D17" s="30" t="s">
        <v>276</v>
      </c>
      <c r="E17" s="6" t="str">
        <f aca="false">IF(C17=D17,"YES","NO")</f>
        <v>YES</v>
      </c>
      <c r="F17" s="6" t="s">
        <v>571</v>
      </c>
      <c r="G17" s="6"/>
      <c r="H17" s="6" t="s">
        <v>489</v>
      </c>
    </row>
    <row r="18" customFormat="false" ht="39.75" hidden="false" customHeight="true" outlineLevel="0" collapsed="false">
      <c r="A18" s="6" t="s">
        <v>343</v>
      </c>
      <c r="B18" s="6" t="s">
        <v>344</v>
      </c>
      <c r="C18" s="19" t="s">
        <v>276</v>
      </c>
      <c r="D18" s="30" t="s">
        <v>276</v>
      </c>
      <c r="E18" s="6" t="str">
        <f aca="false">IF(C18=D18,"YES","NO")</f>
        <v>YES</v>
      </c>
      <c r="F18" s="6" t="s">
        <v>572</v>
      </c>
      <c r="G18" s="6"/>
      <c r="H18" s="6" t="s">
        <v>489</v>
      </c>
    </row>
    <row r="19" customFormat="false" ht="39.75" hidden="false" customHeight="true" outlineLevel="0" collapsed="false">
      <c r="A19" s="6" t="s">
        <v>347</v>
      </c>
      <c r="B19" s="6" t="s">
        <v>348</v>
      </c>
      <c r="C19" s="19" t="s">
        <v>276</v>
      </c>
      <c r="D19" s="30" t="s">
        <v>276</v>
      </c>
      <c r="E19" s="6" t="str">
        <f aca="false">IF(C19=D19,"YES","NO")</f>
        <v>YES</v>
      </c>
      <c r="F19" s="6" t="s">
        <v>573</v>
      </c>
      <c r="G19" s="6"/>
      <c r="H19" s="6" t="s">
        <v>489</v>
      </c>
    </row>
    <row r="20" customFormat="false" ht="39.75" hidden="false" customHeight="true" outlineLevel="0" collapsed="false">
      <c r="A20" s="6" t="s">
        <v>351</v>
      </c>
      <c r="B20" s="6" t="s">
        <v>314</v>
      </c>
      <c r="C20" s="19" t="s">
        <v>276</v>
      </c>
      <c r="D20" s="30" t="s">
        <v>276</v>
      </c>
      <c r="E20" s="6" t="str">
        <f aca="false">IF(C20=D20,"YES","NO")</f>
        <v>YES</v>
      </c>
      <c r="F20" s="6" t="s">
        <v>574</v>
      </c>
      <c r="G20" s="6"/>
      <c r="H20" s="6" t="s">
        <v>489</v>
      </c>
    </row>
    <row r="21" customFormat="false" ht="39.75" hidden="false" customHeight="true" outlineLevel="0" collapsed="false">
      <c r="A21" s="6" t="s">
        <v>353</v>
      </c>
      <c r="B21" s="6" t="s">
        <v>354</v>
      </c>
      <c r="C21" s="19" t="s">
        <v>276</v>
      </c>
      <c r="D21" s="30" t="s">
        <v>276</v>
      </c>
      <c r="E21" s="6" t="str">
        <f aca="false">IF(C21=D21,"YES","NO")</f>
        <v>YES</v>
      </c>
      <c r="F21" s="6" t="s">
        <v>575</v>
      </c>
      <c r="G21" s="6"/>
      <c r="H21" s="6" t="s">
        <v>489</v>
      </c>
    </row>
    <row r="22" customFormat="false" ht="39.75" hidden="false" customHeight="true" outlineLevel="0" collapsed="false">
      <c r="A22" s="6" t="s">
        <v>357</v>
      </c>
      <c r="B22" s="6" t="s">
        <v>358</v>
      </c>
      <c r="C22" s="17" t="s">
        <v>240</v>
      </c>
      <c r="D22" s="30" t="s">
        <v>240</v>
      </c>
      <c r="E22" s="6" t="str">
        <f aca="false">IF(C22=D22,"YES","NO")</f>
        <v>YES</v>
      </c>
      <c r="F22" s="6" t="s">
        <v>576</v>
      </c>
      <c r="G22" s="6"/>
      <c r="H22" s="6" t="s">
        <v>489</v>
      </c>
    </row>
    <row r="23" customFormat="false" ht="39.75" hidden="false" customHeight="true" outlineLevel="0" collapsed="false">
      <c r="A23" s="6" t="s">
        <v>360</v>
      </c>
      <c r="B23" s="6" t="s">
        <v>361</v>
      </c>
      <c r="C23" s="17" t="s">
        <v>240</v>
      </c>
      <c r="D23" s="30" t="s">
        <v>240</v>
      </c>
      <c r="E23" s="6" t="str">
        <f aca="false">IF(C23=D23,"YES","NO")</f>
        <v>YES</v>
      </c>
      <c r="F23" s="6" t="s">
        <v>576</v>
      </c>
      <c r="G23" s="6"/>
      <c r="H23" s="6" t="s">
        <v>489</v>
      </c>
    </row>
    <row r="24" customFormat="false" ht="39.75" hidden="false" customHeight="true" outlineLevel="0" collapsed="false">
      <c r="A24" s="6" t="s">
        <v>363</v>
      </c>
      <c r="B24" s="6" t="s">
        <v>364</v>
      </c>
      <c r="C24" s="17" t="s">
        <v>240</v>
      </c>
      <c r="D24" s="30" t="s">
        <v>240</v>
      </c>
      <c r="E24" s="6" t="str">
        <f aca="false">IF(C24=D24,"YES","NO")</f>
        <v>YES</v>
      </c>
      <c r="F24" s="6" t="s">
        <v>576</v>
      </c>
      <c r="G24" s="6"/>
      <c r="H24" s="6" t="s">
        <v>489</v>
      </c>
    </row>
    <row r="25" customFormat="false" ht="39.75" hidden="false" customHeight="true" outlineLevel="0" collapsed="false">
      <c r="A25" s="6" t="s">
        <v>366</v>
      </c>
      <c r="B25" s="6" t="s">
        <v>367</v>
      </c>
      <c r="C25" s="17" t="s">
        <v>240</v>
      </c>
      <c r="D25" s="30" t="s">
        <v>240</v>
      </c>
      <c r="E25" s="6" t="str">
        <f aca="false">IF(C25=D25,"YES","NO")</f>
        <v>YES</v>
      </c>
      <c r="F25" s="6" t="s">
        <v>576</v>
      </c>
      <c r="G25" s="6"/>
      <c r="H25" s="6" t="s">
        <v>489</v>
      </c>
    </row>
    <row r="26" customFormat="false" ht="39.75" hidden="false" customHeight="true" outlineLevel="0" collapsed="false">
      <c r="A26" s="6" t="s">
        <v>577</v>
      </c>
      <c r="B26" s="6" t="s">
        <v>578</v>
      </c>
      <c r="C26" s="16" t="s">
        <v>193</v>
      </c>
      <c r="D26" s="30" t="s">
        <v>193</v>
      </c>
      <c r="E26" s="6" t="str">
        <f aca="false">IF(C26=D26,"YES","NO")</f>
        <v>YES</v>
      </c>
      <c r="F26" s="6" t="s">
        <v>579</v>
      </c>
      <c r="G26" s="6"/>
      <c r="H26" s="6" t="s">
        <v>489</v>
      </c>
    </row>
    <row r="27" customFormat="false" ht="39.75" hidden="false" customHeight="true" outlineLevel="0" collapsed="false">
      <c r="A27" s="6" t="s">
        <v>580</v>
      </c>
      <c r="B27" s="6" t="s">
        <v>581</v>
      </c>
      <c r="C27" s="16" t="s">
        <v>193</v>
      </c>
      <c r="D27" s="30" t="s">
        <v>193</v>
      </c>
      <c r="E27" s="6" t="str">
        <f aca="false">IF(C27=D27,"YES","NO")</f>
        <v>YES</v>
      </c>
      <c r="F27" s="6" t="s">
        <v>582</v>
      </c>
      <c r="G27" s="6"/>
      <c r="H27" s="6" t="s">
        <v>489</v>
      </c>
    </row>
    <row r="28" customFormat="false" ht="39.75" hidden="false" customHeight="true" outlineLevel="0" collapsed="false">
      <c r="A28" s="6" t="s">
        <v>583</v>
      </c>
      <c r="B28" s="6" t="s">
        <v>584</v>
      </c>
      <c r="C28" s="16" t="s">
        <v>193</v>
      </c>
      <c r="D28" s="30" t="s">
        <v>193</v>
      </c>
      <c r="E28" s="6" t="str">
        <f aca="false">IF(C28=D28,"YES","NO")</f>
        <v>YES</v>
      </c>
      <c r="F28" s="6" t="s">
        <v>585</v>
      </c>
      <c r="G28" s="6"/>
      <c r="H28" s="6" t="s">
        <v>489</v>
      </c>
    </row>
    <row r="29" customFormat="false" ht="39.75" hidden="false" customHeight="true" outlineLevel="0" collapsed="false">
      <c r="A29" s="6" t="s">
        <v>586</v>
      </c>
      <c r="B29" s="6" t="s">
        <v>587</v>
      </c>
      <c r="C29" s="16" t="s">
        <v>193</v>
      </c>
      <c r="D29" s="30" t="s">
        <v>193</v>
      </c>
      <c r="E29" s="6" t="str">
        <f aca="false">IF(C29=D29,"YES","NO")</f>
        <v>YES</v>
      </c>
      <c r="F29" s="6" t="s">
        <v>588</v>
      </c>
      <c r="G29" s="6"/>
      <c r="H29" s="6" t="s">
        <v>489</v>
      </c>
    </row>
    <row r="30" customFormat="false" ht="39.75" hidden="false" customHeight="true" outlineLevel="0" collapsed="false">
      <c r="A30" s="6" t="s">
        <v>589</v>
      </c>
      <c r="B30" s="6" t="s">
        <v>590</v>
      </c>
      <c r="C30" s="16" t="s">
        <v>193</v>
      </c>
      <c r="D30" s="30" t="s">
        <v>193</v>
      </c>
      <c r="E30" s="6" t="str">
        <f aca="false">IF(C30=D30,"YES","NO")</f>
        <v>YES</v>
      </c>
      <c r="F30" s="6" t="s">
        <v>591</v>
      </c>
      <c r="G30" s="6"/>
      <c r="H30" s="6" t="s">
        <v>489</v>
      </c>
    </row>
    <row r="31" customFormat="false" ht="39.75" hidden="false" customHeight="true" outlineLevel="0" collapsed="false">
      <c r="A31" s="6" t="s">
        <v>592</v>
      </c>
      <c r="B31" s="6" t="s">
        <v>593</v>
      </c>
      <c r="C31" s="16" t="s">
        <v>193</v>
      </c>
      <c r="D31" s="30" t="s">
        <v>276</v>
      </c>
      <c r="E31" s="6" t="str">
        <f aca="false">IF(C31=D31,"YES","NO")</f>
        <v>NO</v>
      </c>
      <c r="F31" s="6" t="s">
        <v>600</v>
      </c>
      <c r="G31" s="6"/>
      <c r="H31" s="6" t="s">
        <v>489</v>
      </c>
    </row>
    <row r="32" customFormat="false" ht="39.75" hidden="false" customHeight="true" outlineLevel="0" collapsed="false">
      <c r="A32" s="6" t="s">
        <v>595</v>
      </c>
      <c r="B32" s="6" t="s">
        <v>596</v>
      </c>
      <c r="C32" s="16" t="s">
        <v>193</v>
      </c>
      <c r="D32" s="30" t="s">
        <v>276</v>
      </c>
      <c r="E32" s="6" t="str">
        <f aca="false">IF(C32=D32,"YES","NO")</f>
        <v>NO</v>
      </c>
      <c r="F32" s="6" t="s">
        <v>600</v>
      </c>
      <c r="G32" s="6"/>
      <c r="H32" s="6" t="s">
        <v>489</v>
      </c>
    </row>
    <row r="33" customFormat="false" ht="39.75" hidden="false" customHeight="true" outlineLevel="0" collapsed="false">
      <c r="A33" s="6" t="s">
        <v>601</v>
      </c>
      <c r="B33" s="6" t="s">
        <v>602</v>
      </c>
      <c r="C33" s="16" t="s">
        <v>193</v>
      </c>
      <c r="D33" s="30" t="s">
        <v>193</v>
      </c>
      <c r="E33" s="6" t="str">
        <f aca="false">IF(C33=D33,"YES","NO")</f>
        <v>YES</v>
      </c>
      <c r="F33" s="6" t="s">
        <v>603</v>
      </c>
      <c r="G33" s="6"/>
      <c r="H33" s="6" t="s">
        <v>489</v>
      </c>
    </row>
    <row r="34" customFormat="false" ht="39.75" hidden="false" customHeight="true" outlineLevel="0" collapsed="false">
      <c r="A34" s="6" t="s">
        <v>604</v>
      </c>
      <c r="B34" s="6" t="s">
        <v>605</v>
      </c>
      <c r="C34" s="16" t="s">
        <v>193</v>
      </c>
      <c r="D34" s="30" t="s">
        <v>193</v>
      </c>
      <c r="E34" s="6" t="str">
        <f aca="false">IF(C34=D34,"YES","NO")</f>
        <v>YES</v>
      </c>
      <c r="F34" s="6" t="s">
        <v>606</v>
      </c>
      <c r="G34" s="6"/>
      <c r="H34" s="6" t="s">
        <v>489</v>
      </c>
    </row>
    <row r="35" customFormat="false" ht="39.75" hidden="false" customHeight="true" outlineLevel="0" collapsed="false">
      <c r="A35" s="6" t="s">
        <v>607</v>
      </c>
      <c r="B35" s="6" t="s">
        <v>608</v>
      </c>
      <c r="C35" s="16" t="s">
        <v>193</v>
      </c>
      <c r="D35" s="30" t="s">
        <v>193</v>
      </c>
      <c r="E35" s="6" t="str">
        <f aca="false">IF(C35=D35,"YES","NO")</f>
        <v>YES</v>
      </c>
      <c r="F35" s="6" t="s">
        <v>609</v>
      </c>
      <c r="G35" s="6"/>
      <c r="H35" s="6" t="s">
        <v>489</v>
      </c>
    </row>
    <row r="36" customFormat="false" ht="39.75" hidden="false" customHeight="true" outlineLevel="0" collapsed="false">
      <c r="A36" s="6" t="s">
        <v>610</v>
      </c>
      <c r="B36" s="6" t="s">
        <v>611</v>
      </c>
      <c r="C36" s="16" t="s">
        <v>193</v>
      </c>
      <c r="D36" s="30" t="s">
        <v>240</v>
      </c>
      <c r="E36" s="42" t="str">
        <f aca="false">IF(C36=D36,"YES","NO")</f>
        <v>NO</v>
      </c>
      <c r="F36" s="6" t="s">
        <v>612</v>
      </c>
      <c r="G36" s="6" t="s">
        <v>261</v>
      </c>
      <c r="H36" s="6" t="s">
        <v>489</v>
      </c>
    </row>
    <row r="37" customFormat="false" ht="39.75" hidden="false" customHeight="true" outlineLevel="0" collapsed="false">
      <c r="A37" s="6" t="s">
        <v>613</v>
      </c>
      <c r="B37" s="6" t="s">
        <v>614</v>
      </c>
      <c r="C37" s="16" t="s">
        <v>193</v>
      </c>
      <c r="D37" s="30" t="s">
        <v>240</v>
      </c>
      <c r="E37" s="42" t="str">
        <f aca="false">IF(C37=D37,"YES","NO")</f>
        <v>NO</v>
      </c>
      <c r="F37" s="6" t="s">
        <v>615</v>
      </c>
      <c r="G37" s="6" t="s">
        <v>261</v>
      </c>
      <c r="H37" s="6" t="s">
        <v>489</v>
      </c>
    </row>
    <row r="38" customFormat="false" ht="39.75" hidden="false" customHeight="true" outlineLevel="0" collapsed="false">
      <c r="A38" s="6" t="s">
        <v>616</v>
      </c>
      <c r="B38" s="6" t="s">
        <v>617</v>
      </c>
      <c r="C38" s="19" t="s">
        <v>276</v>
      </c>
      <c r="D38" s="30" t="s">
        <v>276</v>
      </c>
      <c r="E38" s="6" t="str">
        <f aca="false">IF(C38=D38,"YES","NO")</f>
        <v>YES</v>
      </c>
      <c r="F38" s="6" t="s">
        <v>618</v>
      </c>
      <c r="G38" s="6"/>
      <c r="H38" s="6" t="s">
        <v>489</v>
      </c>
    </row>
    <row r="39" customFormat="false" ht="39.75" hidden="false" customHeight="true" outlineLevel="0" collapsed="false">
      <c r="A39" s="6" t="s">
        <v>619</v>
      </c>
      <c r="B39" s="6" t="s">
        <v>620</v>
      </c>
      <c r="C39" s="19" t="s">
        <v>276</v>
      </c>
      <c r="D39" s="30" t="s">
        <v>276</v>
      </c>
      <c r="E39" s="6" t="str">
        <f aca="false">IF(C39=D39,"YES","NO")</f>
        <v>YES</v>
      </c>
      <c r="F39" s="6" t="s">
        <v>621</v>
      </c>
      <c r="G39" s="6"/>
      <c r="H39" s="6" t="s">
        <v>489</v>
      </c>
    </row>
    <row r="40" customFormat="false" ht="39.75" hidden="false" customHeight="true" outlineLevel="0" collapsed="false">
      <c r="A40" s="6" t="s">
        <v>622</v>
      </c>
      <c r="B40" s="6" t="s">
        <v>623</v>
      </c>
      <c r="C40" s="19" t="s">
        <v>276</v>
      </c>
      <c r="D40" s="30" t="s">
        <v>276</v>
      </c>
      <c r="E40" s="6" t="str">
        <f aca="false">IF(C40=D40,"YES","NO")</f>
        <v>YES</v>
      </c>
      <c r="F40" s="6" t="s">
        <v>624</v>
      </c>
      <c r="G40" s="6"/>
      <c r="H40" s="6" t="s">
        <v>489</v>
      </c>
    </row>
    <row r="41" customFormat="false" ht="39.75" hidden="false" customHeight="true" outlineLevel="0" collapsed="false">
      <c r="A41" s="6" t="s">
        <v>625</v>
      </c>
      <c r="B41" s="6" t="s">
        <v>626</v>
      </c>
      <c r="C41" s="19" t="s">
        <v>276</v>
      </c>
      <c r="D41" s="30" t="s">
        <v>276</v>
      </c>
      <c r="E41" s="6" t="str">
        <f aca="false">IF(C41=D41,"YES","NO")</f>
        <v>YES</v>
      </c>
      <c r="F41" s="6" t="s">
        <v>627</v>
      </c>
      <c r="G41" s="6"/>
      <c r="H41" s="6" t="s">
        <v>489</v>
      </c>
    </row>
    <row r="42" customFormat="false" ht="39.75" hidden="false" customHeight="true" outlineLevel="0" collapsed="false">
      <c r="A42" s="6" t="s">
        <v>628</v>
      </c>
      <c r="B42" s="6" t="s">
        <v>629</v>
      </c>
      <c r="C42" s="19" t="s">
        <v>276</v>
      </c>
      <c r="D42" s="30" t="s">
        <v>276</v>
      </c>
      <c r="E42" s="6" t="str">
        <f aca="false">IF(C42=D42,"YES","NO")</f>
        <v>YES</v>
      </c>
      <c r="F42" s="6" t="s">
        <v>627</v>
      </c>
      <c r="G42" s="6"/>
      <c r="H42" s="6" t="s">
        <v>489</v>
      </c>
    </row>
    <row r="43" customFormat="false" ht="39.75" hidden="false" customHeight="true" outlineLevel="0" collapsed="false">
      <c r="A43" s="6" t="s">
        <v>630</v>
      </c>
      <c r="B43" s="6" t="s">
        <v>631</v>
      </c>
      <c r="C43" s="19" t="s">
        <v>276</v>
      </c>
      <c r="D43" s="30" t="s">
        <v>276</v>
      </c>
      <c r="E43" s="6" t="str">
        <f aca="false">IF(C43=D43,"YES","NO")</f>
        <v>YES</v>
      </c>
      <c r="F43" s="6" t="s">
        <v>627</v>
      </c>
      <c r="G43" s="6"/>
      <c r="H43" s="6" t="s">
        <v>489</v>
      </c>
    </row>
    <row r="44" customFormat="false" ht="39.75" hidden="false" customHeight="true" outlineLevel="0" collapsed="false">
      <c r="A44" s="6" t="s">
        <v>632</v>
      </c>
      <c r="B44" s="6" t="s">
        <v>633</v>
      </c>
      <c r="C44" s="19" t="s">
        <v>276</v>
      </c>
      <c r="D44" s="30" t="s">
        <v>276</v>
      </c>
      <c r="E44" s="6" t="str">
        <f aca="false">IF(C44=D44,"YES","NO")</f>
        <v>YES</v>
      </c>
      <c r="F44" s="6" t="s">
        <v>634</v>
      </c>
      <c r="G44" s="6"/>
      <c r="H44" s="6" t="s">
        <v>489</v>
      </c>
    </row>
    <row r="45" customFormat="false" ht="39.75" hidden="false" customHeight="true" outlineLevel="0" collapsed="false">
      <c r="A45" s="15" t="s">
        <v>635</v>
      </c>
      <c r="B45" s="15" t="s">
        <v>636</v>
      </c>
      <c r="C45" s="17" t="s">
        <v>240</v>
      </c>
      <c r="D45" s="45" t="s">
        <v>240</v>
      </c>
      <c r="E45" s="15" t="str">
        <f aca="false">IF(C45=D45,"YES","NO")</f>
        <v>YES</v>
      </c>
      <c r="F45" s="15" t="s">
        <v>637</v>
      </c>
      <c r="G45" s="15" t="s">
        <v>552</v>
      </c>
      <c r="H45" s="15" t="s">
        <v>489</v>
      </c>
    </row>
    <row r="46" customFormat="false" ht="39.75" hidden="false" customHeight="true" outlineLevel="0" collapsed="false">
      <c r="A46" s="15" t="s">
        <v>638</v>
      </c>
      <c r="B46" s="15" t="s">
        <v>639</v>
      </c>
      <c r="C46" s="17" t="s">
        <v>240</v>
      </c>
      <c r="D46" s="45" t="s">
        <v>240</v>
      </c>
      <c r="E46" s="15" t="str">
        <f aca="false">IF(C46=D46,"YES","NO")</f>
        <v>YES</v>
      </c>
      <c r="F46" s="15" t="s">
        <v>640</v>
      </c>
      <c r="G46" s="15" t="s">
        <v>552</v>
      </c>
      <c r="H46" s="15" t="s">
        <v>489</v>
      </c>
    </row>
    <row r="47" customFormat="false" ht="39.75" hidden="false" customHeight="true" outlineLevel="0" collapsed="false">
      <c r="A47" s="15" t="s">
        <v>641</v>
      </c>
      <c r="B47" s="15" t="s">
        <v>642</v>
      </c>
      <c r="C47" s="17" t="s">
        <v>240</v>
      </c>
      <c r="D47" s="45" t="s">
        <v>240</v>
      </c>
      <c r="E47" s="15" t="str">
        <f aca="false">IF(C47=D47,"YES","NO")</f>
        <v>YES</v>
      </c>
      <c r="F47" s="15" t="s">
        <v>643</v>
      </c>
      <c r="G47" s="15" t="s">
        <v>552</v>
      </c>
      <c r="H47" s="15" t="s">
        <v>489</v>
      </c>
    </row>
    <row r="48" customFormat="false" ht="39.75" hidden="false" customHeight="true" outlineLevel="0" collapsed="false">
      <c r="A48" s="15" t="s">
        <v>644</v>
      </c>
      <c r="B48" s="15" t="s">
        <v>645</v>
      </c>
      <c r="C48" s="17" t="s">
        <v>240</v>
      </c>
      <c r="D48" s="45" t="s">
        <v>240</v>
      </c>
      <c r="E48" s="15" t="str">
        <f aca="false">IF(C48=D48,"YES","NO")</f>
        <v>YES</v>
      </c>
      <c r="F48" s="15" t="s">
        <v>646</v>
      </c>
      <c r="G48" s="15" t="s">
        <v>261</v>
      </c>
      <c r="H48" s="15" t="s">
        <v>489</v>
      </c>
    </row>
    <row r="49" customFormat="false" ht="39.75" hidden="false" customHeight="true" outlineLevel="0" collapsed="false">
      <c r="A49" s="15" t="s">
        <v>647</v>
      </c>
      <c r="B49" s="15" t="s">
        <v>648</v>
      </c>
      <c r="C49" s="31" t="s">
        <v>501</v>
      </c>
      <c r="D49" s="45" t="s">
        <v>193</v>
      </c>
      <c r="E49" s="15" t="str">
        <f aca="false">IF(C49=D49,"YES","NO")</f>
        <v>NO</v>
      </c>
      <c r="F49" s="15" t="s">
        <v>649</v>
      </c>
      <c r="G49" s="15" t="s">
        <v>552</v>
      </c>
      <c r="H49" s="15" t="s">
        <v>489</v>
      </c>
    </row>
    <row r="50" customFormat="false" ht="39.75" hidden="false" customHeight="true" outlineLevel="0" collapsed="false">
      <c r="A50" s="15" t="s">
        <v>650</v>
      </c>
      <c r="B50" s="15" t="s">
        <v>651</v>
      </c>
      <c r="C50" s="31" t="s">
        <v>501</v>
      </c>
      <c r="D50" s="45" t="s">
        <v>193</v>
      </c>
      <c r="E50" s="15" t="str">
        <f aca="false">IF(C50=D50,"YES","NO")</f>
        <v>NO</v>
      </c>
      <c r="F50" s="15" t="s">
        <v>652</v>
      </c>
      <c r="G50" s="15" t="s">
        <v>552</v>
      </c>
      <c r="H50" s="15" t="s">
        <v>489</v>
      </c>
    </row>
    <row r="51" customFormat="false" ht="39.75" hidden="false" customHeight="true" outlineLevel="0" collapsed="false">
      <c r="A51" s="15" t="s">
        <v>653</v>
      </c>
      <c r="B51" s="15" t="s">
        <v>654</v>
      </c>
      <c r="C51" s="16" t="s">
        <v>193</v>
      </c>
      <c r="D51" s="45" t="s">
        <v>193</v>
      </c>
      <c r="E51" s="15" t="str">
        <f aca="false">IF(C51=D51,"YES","NO")</f>
        <v>YES</v>
      </c>
      <c r="F51" s="15" t="s">
        <v>655</v>
      </c>
      <c r="G51" s="15" t="s">
        <v>552</v>
      </c>
      <c r="H51" s="15" t="s">
        <v>489</v>
      </c>
    </row>
    <row r="52" customFormat="false" ht="39.75" hidden="false" customHeight="true" outlineLevel="0" collapsed="false">
      <c r="A52" s="15" t="s">
        <v>656</v>
      </c>
      <c r="B52" s="15" t="s">
        <v>657</v>
      </c>
      <c r="C52" s="16" t="s">
        <v>193</v>
      </c>
      <c r="D52" s="45" t="s">
        <v>193</v>
      </c>
      <c r="E52" s="15" t="str">
        <f aca="false">IF(C52=D52,"YES","NO")</f>
        <v>YES</v>
      </c>
      <c r="F52" s="15" t="s">
        <v>658</v>
      </c>
      <c r="G52" s="15" t="s">
        <v>552</v>
      </c>
      <c r="H52" s="15" t="s">
        <v>489</v>
      </c>
    </row>
    <row r="54" customFormat="false" ht="15" hidden="false" customHeight="true" outlineLevel="0" collapsed="false">
      <c r="A54" s="10" t="s">
        <v>502</v>
      </c>
    </row>
    <row r="55" customFormat="false" ht="15" hidden="false" customHeight="true" outlineLevel="0" collapsed="false">
      <c r="A55" s="32" t="s">
        <v>503</v>
      </c>
      <c r="B55" s="33" t="n">
        <f aca="false">COUNTIF(C5:C52,"FACT")</f>
        <v>25</v>
      </c>
    </row>
    <row r="56" customFormat="false" ht="15" hidden="false" customHeight="true" outlineLevel="0" collapsed="false">
      <c r="A56" s="34" t="s">
        <v>504</v>
      </c>
      <c r="B56" s="35" t="n">
        <f aca="false">COUNTIF(C5:C52,"CLAIM")</f>
        <v>8</v>
      </c>
    </row>
    <row r="57" customFormat="false" ht="15" hidden="false" customHeight="true" outlineLevel="0" collapsed="false">
      <c r="A57" s="36" t="s">
        <v>505</v>
      </c>
      <c r="B57" s="37" t="n">
        <f aca="false">COUNTIF(C5:C52,"EVIDENCE")</f>
        <v>13</v>
      </c>
    </row>
    <row r="58" customFormat="false" ht="15" hidden="false" customHeight="true" outlineLevel="0" collapsed="false">
      <c r="A58" s="38" t="s">
        <v>506</v>
      </c>
      <c r="B58" s="39" t="n">
        <f aca="false">COUNTIF(C5:C52,"FACT")/(COUNTIF(C5:C52,"FACT")+COUNTIF(C5:C52,"CLAIM"))</f>
        <v>0.757575757575758</v>
      </c>
    </row>
    <row r="59" customFormat="false" ht="15" hidden="false" customHeight="true" outlineLevel="0" collapsed="false">
      <c r="A59" s="38" t="s">
        <v>507</v>
      </c>
      <c r="B59" s="39" t="n">
        <f aca="false">IF(COUNTIF(C5:C52,"CLAIM")=0,"N/A",COUNTIF(C5:C52,"EVIDENCE")/COUNTIF(C5:C52,"CLAIM"))</f>
        <v>1.625</v>
      </c>
    </row>
    <row r="60" customFormat="false" ht="15" hidden="false" customHeight="true" outlineLevel="0" collapsed="false">
      <c r="A60" s="21" t="s">
        <v>508</v>
      </c>
      <c r="B60" s="39" t="n">
        <f aca="false">COUNTIF(E5:E52,"YES")/COUNTA(E5:E52)</f>
        <v>0.875</v>
      </c>
    </row>
  </sheetData>
  <mergeCells count="3">
    <mergeCell ref="A1:H1"/>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8A"/>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2"/>
    <col collapsed="false" customWidth="true" hidden="false" outlineLevel="0" max="5" min="3" style="1" width="12"/>
    <col collapsed="false" customWidth="true" hidden="false" outlineLevel="0" max="6" min="6" style="1" width="40"/>
    <col collapsed="false" customWidth="true" hidden="false" outlineLevel="0" max="7" min="7" style="1" width="16"/>
    <col collapsed="false" customWidth="true" hidden="false" outlineLevel="0" max="8" min="8" style="1" width="24"/>
  </cols>
  <sheetData>
    <row r="1" customFormat="false" ht="27.75" hidden="false" customHeight="true" outlineLevel="0" collapsed="false">
      <c r="A1" s="26" t="s">
        <v>659</v>
      </c>
      <c r="B1" s="26"/>
      <c r="C1" s="26"/>
      <c r="D1" s="26"/>
      <c r="E1" s="26"/>
      <c r="F1" s="26"/>
      <c r="G1" s="26"/>
      <c r="H1" s="26"/>
    </row>
    <row r="2" customFormat="false" ht="15.75" hidden="false" customHeight="true" outlineLevel="0" collapsed="false">
      <c r="A2" s="27" t="s">
        <v>660</v>
      </c>
      <c r="B2" s="27"/>
      <c r="C2" s="27"/>
      <c r="D2" s="27"/>
      <c r="E2" s="27"/>
      <c r="F2" s="27"/>
      <c r="G2" s="27"/>
      <c r="H2" s="27"/>
    </row>
    <row r="3" customFormat="false" ht="19.5" hidden="false" customHeight="true" outlineLevel="0" collapsed="false">
      <c r="A3" s="43" t="s">
        <v>561</v>
      </c>
      <c r="B3" s="43"/>
      <c r="C3" s="43"/>
      <c r="D3" s="43"/>
      <c r="E3" s="43"/>
      <c r="F3" s="43"/>
      <c r="G3" s="43"/>
      <c r="H3" s="43"/>
    </row>
    <row r="4" customFormat="false" ht="27.75" hidden="false" customHeight="true" outlineLevel="0" collapsed="false">
      <c r="A4" s="44" t="s">
        <v>185</v>
      </c>
      <c r="B4" s="44" t="s">
        <v>480</v>
      </c>
      <c r="C4" s="44" t="s">
        <v>481</v>
      </c>
      <c r="D4" s="44" t="s">
        <v>482</v>
      </c>
      <c r="E4" s="44" t="s">
        <v>483</v>
      </c>
      <c r="F4" s="44" t="s">
        <v>484</v>
      </c>
      <c r="G4" s="44" t="s">
        <v>485</v>
      </c>
      <c r="H4" s="44" t="s">
        <v>486</v>
      </c>
    </row>
    <row r="5" customFormat="false" ht="39.75" hidden="false" customHeight="true" outlineLevel="0" collapsed="false">
      <c r="A5" s="6" t="s">
        <v>301</v>
      </c>
      <c r="B5" s="6" t="s">
        <v>302</v>
      </c>
      <c r="C5" s="16" t="s">
        <v>193</v>
      </c>
      <c r="D5" s="30" t="s">
        <v>193</v>
      </c>
      <c r="E5" s="6" t="str">
        <f aca="false">IF(C5=D5,"YES","NO")</f>
        <v>YES</v>
      </c>
      <c r="F5" s="6" t="s">
        <v>661</v>
      </c>
      <c r="G5" s="6"/>
      <c r="H5" s="6" t="s">
        <v>489</v>
      </c>
    </row>
    <row r="6" customFormat="false" ht="39.75" hidden="false" customHeight="true" outlineLevel="0" collapsed="false">
      <c r="A6" s="6" t="s">
        <v>304</v>
      </c>
      <c r="B6" s="6" t="s">
        <v>305</v>
      </c>
      <c r="C6" s="16" t="s">
        <v>193</v>
      </c>
      <c r="D6" s="30" t="s">
        <v>193</v>
      </c>
      <c r="E6" s="6" t="str">
        <f aca="false">IF(C6=D6,"YES","NO")</f>
        <v>YES</v>
      </c>
      <c r="F6" s="6" t="s">
        <v>661</v>
      </c>
      <c r="G6" s="6"/>
      <c r="H6" s="6" t="s">
        <v>489</v>
      </c>
    </row>
    <row r="7" customFormat="false" ht="39.75" hidden="false" customHeight="true" outlineLevel="0" collapsed="false">
      <c r="A7" s="6" t="s">
        <v>307</v>
      </c>
      <c r="B7" s="6" t="s">
        <v>308</v>
      </c>
      <c r="C7" s="16" t="s">
        <v>193</v>
      </c>
      <c r="D7" s="30" t="s">
        <v>193</v>
      </c>
      <c r="E7" s="6" t="str">
        <f aca="false">IF(C7=D7,"YES","NO")</f>
        <v>YES</v>
      </c>
      <c r="F7" s="6" t="s">
        <v>661</v>
      </c>
      <c r="G7" s="6"/>
      <c r="H7" s="6" t="s">
        <v>489</v>
      </c>
    </row>
    <row r="8" customFormat="false" ht="39.75" hidden="false" customHeight="true" outlineLevel="0" collapsed="false">
      <c r="A8" s="6" t="s">
        <v>310</v>
      </c>
      <c r="B8" s="6" t="s">
        <v>311</v>
      </c>
      <c r="C8" s="16" t="s">
        <v>193</v>
      </c>
      <c r="D8" s="30" t="s">
        <v>193</v>
      </c>
      <c r="E8" s="6" t="str">
        <f aca="false">IF(C8=D8,"YES","NO")</f>
        <v>YES</v>
      </c>
      <c r="F8" s="6" t="s">
        <v>661</v>
      </c>
      <c r="G8" s="6"/>
      <c r="H8" s="6" t="s">
        <v>489</v>
      </c>
    </row>
    <row r="9" customFormat="false" ht="39.75" hidden="false" customHeight="true" outlineLevel="0" collapsed="false">
      <c r="A9" s="6" t="s">
        <v>313</v>
      </c>
      <c r="B9" s="6" t="s">
        <v>314</v>
      </c>
      <c r="C9" s="16" t="s">
        <v>193</v>
      </c>
      <c r="D9" s="30" t="s">
        <v>193</v>
      </c>
      <c r="E9" s="6" t="str">
        <f aca="false">IF(C9=D9,"YES","NO")</f>
        <v>YES</v>
      </c>
      <c r="F9" s="6" t="s">
        <v>661</v>
      </c>
      <c r="G9" s="6"/>
      <c r="H9" s="6" t="s">
        <v>489</v>
      </c>
    </row>
    <row r="10" customFormat="false" ht="39.75" hidden="false" customHeight="true" outlineLevel="0" collapsed="false">
      <c r="A10" s="6" t="s">
        <v>316</v>
      </c>
      <c r="B10" s="6" t="s">
        <v>317</v>
      </c>
      <c r="C10" s="16" t="s">
        <v>193</v>
      </c>
      <c r="D10" s="30" t="s">
        <v>193</v>
      </c>
      <c r="E10" s="6" t="str">
        <f aca="false">IF(C10=D10,"YES","NO")</f>
        <v>YES</v>
      </c>
      <c r="F10" s="6" t="s">
        <v>661</v>
      </c>
      <c r="G10" s="6"/>
      <c r="H10" s="6" t="s">
        <v>489</v>
      </c>
    </row>
    <row r="11" customFormat="false" ht="39.75" hidden="false" customHeight="true" outlineLevel="0" collapsed="false">
      <c r="A11" s="6" t="s">
        <v>319</v>
      </c>
      <c r="B11" s="6" t="s">
        <v>320</v>
      </c>
      <c r="C11" s="16" t="s">
        <v>193</v>
      </c>
      <c r="D11" s="30" t="s">
        <v>193</v>
      </c>
      <c r="E11" s="6" t="str">
        <f aca="false">IF(C11=D11,"YES","NO")</f>
        <v>YES</v>
      </c>
      <c r="F11" s="6" t="s">
        <v>661</v>
      </c>
      <c r="G11" s="6"/>
      <c r="H11" s="6" t="s">
        <v>489</v>
      </c>
    </row>
    <row r="12" customFormat="false" ht="39.75" hidden="false" customHeight="true" outlineLevel="0" collapsed="false">
      <c r="A12" s="6" t="s">
        <v>322</v>
      </c>
      <c r="B12" s="6" t="s">
        <v>323</v>
      </c>
      <c r="C12" s="16" t="s">
        <v>193</v>
      </c>
      <c r="D12" s="30" t="s">
        <v>193</v>
      </c>
      <c r="E12" s="6" t="str">
        <f aca="false">IF(C12=D12,"YES","NO")</f>
        <v>YES</v>
      </c>
      <c r="F12" s="6" t="s">
        <v>661</v>
      </c>
      <c r="G12" s="6"/>
      <c r="H12" s="6" t="s">
        <v>489</v>
      </c>
    </row>
    <row r="13" customFormat="false" ht="39.75" hidden="false" customHeight="true" outlineLevel="0" collapsed="false">
      <c r="A13" s="6" t="s">
        <v>325</v>
      </c>
      <c r="B13" s="6" t="s">
        <v>326</v>
      </c>
      <c r="C13" s="16" t="s">
        <v>193</v>
      </c>
      <c r="D13" s="30" t="s">
        <v>193</v>
      </c>
      <c r="E13" s="6" t="str">
        <f aca="false">IF(C13=D13,"YES","NO")</f>
        <v>YES</v>
      </c>
      <c r="F13" s="6" t="s">
        <v>661</v>
      </c>
      <c r="G13" s="6"/>
      <c r="H13" s="6" t="s">
        <v>489</v>
      </c>
    </row>
    <row r="14" customFormat="false" ht="39.75" hidden="false" customHeight="true" outlineLevel="0" collapsed="false">
      <c r="A14" s="6" t="s">
        <v>328</v>
      </c>
      <c r="B14" s="6" t="s">
        <v>329</v>
      </c>
      <c r="C14" s="16" t="s">
        <v>193</v>
      </c>
      <c r="D14" s="30" t="s">
        <v>193</v>
      </c>
      <c r="E14" s="6" t="str">
        <f aca="false">IF(C14=D14,"YES","NO")</f>
        <v>YES</v>
      </c>
      <c r="F14" s="6" t="s">
        <v>661</v>
      </c>
      <c r="G14" s="6"/>
      <c r="H14" s="6" t="s">
        <v>489</v>
      </c>
    </row>
    <row r="15" customFormat="false" ht="39.75" hidden="false" customHeight="true" outlineLevel="0" collapsed="false">
      <c r="A15" s="6" t="s">
        <v>331</v>
      </c>
      <c r="B15" s="6" t="s">
        <v>332</v>
      </c>
      <c r="C15" s="16" t="s">
        <v>193</v>
      </c>
      <c r="D15" s="30" t="s">
        <v>193</v>
      </c>
      <c r="E15" s="6" t="str">
        <f aca="false">IF(C15=D15,"YES","NO")</f>
        <v>YES</v>
      </c>
      <c r="F15" s="6" t="s">
        <v>661</v>
      </c>
      <c r="G15" s="6"/>
      <c r="H15" s="6" t="s">
        <v>489</v>
      </c>
    </row>
    <row r="16" customFormat="false" ht="39.75" hidden="false" customHeight="true" outlineLevel="0" collapsed="false">
      <c r="A16" s="6" t="s">
        <v>334</v>
      </c>
      <c r="B16" s="6" t="s">
        <v>335</v>
      </c>
      <c r="C16" s="16" t="s">
        <v>193</v>
      </c>
      <c r="D16" s="30" t="s">
        <v>276</v>
      </c>
      <c r="E16" s="42" t="str">
        <f aca="false">IF(C16=D16,"YES","NO")</f>
        <v>NO</v>
      </c>
      <c r="F16" s="6" t="s">
        <v>662</v>
      </c>
      <c r="G16" s="6" t="s">
        <v>261</v>
      </c>
      <c r="H16" s="6" t="s">
        <v>489</v>
      </c>
    </row>
    <row r="17" customFormat="false" ht="39.75" hidden="false" customHeight="true" outlineLevel="0" collapsed="false">
      <c r="A17" s="6" t="s">
        <v>339</v>
      </c>
      <c r="B17" s="6" t="s">
        <v>340</v>
      </c>
      <c r="C17" s="16" t="s">
        <v>193</v>
      </c>
      <c r="D17" s="30" t="s">
        <v>276</v>
      </c>
      <c r="E17" s="42" t="str">
        <f aca="false">IF(C17=D17,"YES","NO")</f>
        <v>NO</v>
      </c>
      <c r="F17" s="6" t="s">
        <v>662</v>
      </c>
      <c r="G17" s="6" t="s">
        <v>261</v>
      </c>
      <c r="H17" s="6" t="s">
        <v>489</v>
      </c>
    </row>
    <row r="18" customFormat="false" ht="39.75" hidden="false" customHeight="true" outlineLevel="0" collapsed="false">
      <c r="A18" s="6" t="s">
        <v>343</v>
      </c>
      <c r="B18" s="6" t="s">
        <v>344</v>
      </c>
      <c r="C18" s="16" t="s">
        <v>193</v>
      </c>
      <c r="D18" s="30" t="s">
        <v>276</v>
      </c>
      <c r="E18" s="42" t="str">
        <f aca="false">IF(C18=D18,"YES","NO")</f>
        <v>NO</v>
      </c>
      <c r="F18" s="6" t="s">
        <v>662</v>
      </c>
      <c r="G18" s="6" t="s">
        <v>261</v>
      </c>
      <c r="H18" s="6" t="s">
        <v>489</v>
      </c>
    </row>
    <row r="19" customFormat="false" ht="39.75" hidden="false" customHeight="true" outlineLevel="0" collapsed="false">
      <c r="A19" s="6" t="s">
        <v>347</v>
      </c>
      <c r="B19" s="6" t="s">
        <v>348</v>
      </c>
      <c r="C19" s="19" t="s">
        <v>276</v>
      </c>
      <c r="D19" s="30" t="s">
        <v>276</v>
      </c>
      <c r="E19" s="6" t="str">
        <f aca="false">IF(C19=D19,"YES","NO")</f>
        <v>YES</v>
      </c>
      <c r="F19" s="6" t="s">
        <v>663</v>
      </c>
      <c r="G19" s="6"/>
      <c r="H19" s="6" t="s">
        <v>489</v>
      </c>
    </row>
    <row r="20" customFormat="false" ht="39.75" hidden="false" customHeight="true" outlineLevel="0" collapsed="false">
      <c r="A20" s="6" t="s">
        <v>351</v>
      </c>
      <c r="B20" s="6" t="s">
        <v>314</v>
      </c>
      <c r="C20" s="19" t="s">
        <v>276</v>
      </c>
      <c r="D20" s="30" t="s">
        <v>276</v>
      </c>
      <c r="E20" s="6" t="str">
        <f aca="false">IF(C20=D20,"YES","NO")</f>
        <v>YES</v>
      </c>
      <c r="F20" s="6" t="s">
        <v>663</v>
      </c>
      <c r="G20" s="6"/>
      <c r="H20" s="6" t="s">
        <v>489</v>
      </c>
    </row>
    <row r="21" customFormat="false" ht="39.75" hidden="false" customHeight="true" outlineLevel="0" collapsed="false">
      <c r="A21" s="6" t="s">
        <v>353</v>
      </c>
      <c r="B21" s="6" t="s">
        <v>354</v>
      </c>
      <c r="C21" s="16" t="s">
        <v>193</v>
      </c>
      <c r="D21" s="30" t="s">
        <v>276</v>
      </c>
      <c r="E21" s="42" t="str">
        <f aca="false">IF(C21=D21,"YES","NO")</f>
        <v>NO</v>
      </c>
      <c r="F21" s="6" t="s">
        <v>662</v>
      </c>
      <c r="G21" s="6" t="s">
        <v>261</v>
      </c>
      <c r="H21" s="6" t="s">
        <v>489</v>
      </c>
    </row>
    <row r="22" customFormat="false" ht="39.75" hidden="false" customHeight="true" outlineLevel="0" collapsed="false">
      <c r="A22" s="6" t="s">
        <v>357</v>
      </c>
      <c r="B22" s="6" t="s">
        <v>358</v>
      </c>
      <c r="C22" s="17" t="s">
        <v>240</v>
      </c>
      <c r="D22" s="30" t="s">
        <v>240</v>
      </c>
      <c r="E22" s="42" t="str">
        <f aca="false">IF(C22=D22,"YES","NO")</f>
        <v>YES</v>
      </c>
      <c r="F22" s="6" t="s">
        <v>664</v>
      </c>
      <c r="G22" s="6" t="s">
        <v>261</v>
      </c>
      <c r="H22" s="6" t="s">
        <v>489</v>
      </c>
    </row>
    <row r="23" customFormat="false" ht="39.75" hidden="false" customHeight="true" outlineLevel="0" collapsed="false">
      <c r="A23" s="6" t="s">
        <v>360</v>
      </c>
      <c r="B23" s="6" t="s">
        <v>361</v>
      </c>
      <c r="C23" s="17" t="s">
        <v>240</v>
      </c>
      <c r="D23" s="30" t="s">
        <v>240</v>
      </c>
      <c r="E23" s="42" t="str">
        <f aca="false">IF(C23=D23,"YES","NO")</f>
        <v>YES</v>
      </c>
      <c r="F23" s="6" t="s">
        <v>664</v>
      </c>
      <c r="G23" s="6" t="s">
        <v>261</v>
      </c>
      <c r="H23" s="6" t="s">
        <v>489</v>
      </c>
    </row>
    <row r="24" customFormat="false" ht="39.75" hidden="false" customHeight="true" outlineLevel="0" collapsed="false">
      <c r="A24" s="6" t="s">
        <v>363</v>
      </c>
      <c r="B24" s="6" t="s">
        <v>364</v>
      </c>
      <c r="C24" s="16" t="s">
        <v>193</v>
      </c>
      <c r="D24" s="30" t="s">
        <v>240</v>
      </c>
      <c r="E24" s="42" t="str">
        <f aca="false">IF(C24=D24,"YES","NO")</f>
        <v>NO</v>
      </c>
      <c r="F24" s="6" t="s">
        <v>665</v>
      </c>
      <c r="G24" s="6" t="s">
        <v>261</v>
      </c>
      <c r="H24" s="6" t="s">
        <v>489</v>
      </c>
    </row>
    <row r="25" customFormat="false" ht="39.75" hidden="false" customHeight="true" outlineLevel="0" collapsed="false">
      <c r="A25" s="6" t="s">
        <v>366</v>
      </c>
      <c r="B25" s="6" t="s">
        <v>367</v>
      </c>
      <c r="C25" s="17" t="s">
        <v>240</v>
      </c>
      <c r="D25" s="30" t="s">
        <v>240</v>
      </c>
      <c r="E25" s="6" t="str">
        <f aca="false">IF(C25=D25,"YES","NO")</f>
        <v>YES</v>
      </c>
      <c r="F25" s="6" t="s">
        <v>666</v>
      </c>
      <c r="G25" s="6"/>
      <c r="H25" s="6" t="s">
        <v>489</v>
      </c>
    </row>
    <row r="26" customFormat="false" ht="39.75" hidden="false" customHeight="true" outlineLevel="0" collapsed="false">
      <c r="A26" s="6" t="s">
        <v>577</v>
      </c>
      <c r="B26" s="6" t="s">
        <v>667</v>
      </c>
      <c r="C26" s="31" t="s">
        <v>501</v>
      </c>
      <c r="D26" s="30" t="s">
        <v>193</v>
      </c>
      <c r="E26" s="6" t="str">
        <f aca="false">IF(C26=D26,"YES","NO")</f>
        <v>NO</v>
      </c>
      <c r="F26" s="6" t="s">
        <v>668</v>
      </c>
      <c r="G26" s="6"/>
      <c r="H26" s="6" t="s">
        <v>489</v>
      </c>
    </row>
    <row r="27" customFormat="false" ht="39.75" hidden="false" customHeight="true" outlineLevel="0" collapsed="false">
      <c r="A27" s="6" t="s">
        <v>580</v>
      </c>
      <c r="B27" s="6" t="s">
        <v>669</v>
      </c>
      <c r="C27" s="31" t="s">
        <v>501</v>
      </c>
      <c r="D27" s="30" t="s">
        <v>193</v>
      </c>
      <c r="E27" s="6" t="str">
        <f aca="false">IF(C27=D27,"YES","NO")</f>
        <v>NO</v>
      </c>
      <c r="F27" s="6" t="s">
        <v>668</v>
      </c>
      <c r="G27" s="6"/>
      <c r="H27" s="6" t="s">
        <v>489</v>
      </c>
    </row>
    <row r="28" customFormat="false" ht="39.75" hidden="false" customHeight="true" outlineLevel="0" collapsed="false">
      <c r="A28" s="6" t="s">
        <v>583</v>
      </c>
      <c r="B28" s="6" t="s">
        <v>670</v>
      </c>
      <c r="C28" s="31" t="s">
        <v>501</v>
      </c>
      <c r="D28" s="30" t="s">
        <v>193</v>
      </c>
      <c r="E28" s="6" t="str">
        <f aca="false">IF(C28=D28,"YES","NO")</f>
        <v>NO</v>
      </c>
      <c r="F28" s="6" t="s">
        <v>668</v>
      </c>
      <c r="G28" s="6"/>
      <c r="H28" s="6" t="s">
        <v>489</v>
      </c>
    </row>
    <row r="29" customFormat="false" ht="39.75" hidden="false" customHeight="true" outlineLevel="0" collapsed="false">
      <c r="A29" s="6" t="s">
        <v>586</v>
      </c>
      <c r="B29" s="6" t="s">
        <v>671</v>
      </c>
      <c r="C29" s="31" t="s">
        <v>501</v>
      </c>
      <c r="D29" s="30" t="s">
        <v>193</v>
      </c>
      <c r="E29" s="6" t="str">
        <f aca="false">IF(C29=D29,"YES","NO")</f>
        <v>NO</v>
      </c>
      <c r="F29" s="6" t="s">
        <v>668</v>
      </c>
      <c r="G29" s="6"/>
      <c r="H29" s="6" t="s">
        <v>489</v>
      </c>
    </row>
    <row r="30" customFormat="false" ht="39.75" hidden="false" customHeight="true" outlineLevel="0" collapsed="false">
      <c r="A30" s="6" t="s">
        <v>589</v>
      </c>
      <c r="B30" s="6" t="s">
        <v>672</v>
      </c>
      <c r="C30" s="31" t="s">
        <v>501</v>
      </c>
      <c r="D30" s="30" t="s">
        <v>193</v>
      </c>
      <c r="E30" s="6" t="str">
        <f aca="false">IF(C30=D30,"YES","NO")</f>
        <v>NO</v>
      </c>
      <c r="F30" s="6" t="s">
        <v>668</v>
      </c>
      <c r="G30" s="6"/>
      <c r="H30" s="6" t="s">
        <v>489</v>
      </c>
    </row>
    <row r="32" customFormat="false" ht="15" hidden="false" customHeight="true" outlineLevel="0" collapsed="false">
      <c r="A32" s="10" t="s">
        <v>502</v>
      </c>
    </row>
    <row r="33" customFormat="false" ht="15" hidden="false" customHeight="true" outlineLevel="0" collapsed="false">
      <c r="A33" s="32" t="s">
        <v>503</v>
      </c>
      <c r="B33" s="33" t="n">
        <f aca="false">COUNTIF(C5:C30,"FACT")</f>
        <v>16</v>
      </c>
    </row>
    <row r="34" customFormat="false" ht="15" hidden="false" customHeight="true" outlineLevel="0" collapsed="false">
      <c r="A34" s="34" t="s">
        <v>504</v>
      </c>
      <c r="B34" s="35" t="n">
        <f aca="false">COUNTIF(C5:C30,"CLAIM")</f>
        <v>3</v>
      </c>
    </row>
    <row r="35" customFormat="false" ht="15" hidden="false" customHeight="true" outlineLevel="0" collapsed="false">
      <c r="A35" s="36" t="s">
        <v>505</v>
      </c>
      <c r="B35" s="37" t="n">
        <f aca="false">COUNTIF(C5:C30,"EVIDENCE")</f>
        <v>2</v>
      </c>
    </row>
    <row r="36" customFormat="false" ht="15" hidden="false" customHeight="true" outlineLevel="0" collapsed="false">
      <c r="A36" s="38" t="s">
        <v>506</v>
      </c>
      <c r="B36" s="39" t="n">
        <f aca="false">COUNTIF(C5:C30,"FACT")/(COUNTIF(C5:C30,"FACT")+COUNTIF(C5:C30,"CLAIM"))</f>
        <v>0.842105263157895</v>
      </c>
    </row>
    <row r="37" customFormat="false" ht="15" hidden="false" customHeight="true" outlineLevel="0" collapsed="false">
      <c r="A37" s="38" t="s">
        <v>507</v>
      </c>
      <c r="B37" s="39" t="n">
        <f aca="false">IF(B34=0,"N/A",B35/B34)</f>
        <v>0.666666666666667</v>
      </c>
    </row>
    <row r="38" customFormat="false" ht="15" hidden="false" customHeight="true" outlineLevel="0" collapsed="false">
      <c r="A38" s="21" t="s">
        <v>508</v>
      </c>
      <c r="B38" s="39" t="n">
        <f aca="false">COUNTIF(E5:E30,"YES")/COUNTA(E5:E30)</f>
        <v>0.615384615384615</v>
      </c>
    </row>
  </sheetData>
  <mergeCells count="3">
    <mergeCell ref="A1:H1"/>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5F"/>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20"/>
    <col collapsed="false" customWidth="true" hidden="false" outlineLevel="0" max="5" min="5" style="1" width="14"/>
    <col collapsed="false" customWidth="true" hidden="false" outlineLevel="0" max="8" min="6" style="1" width="20"/>
    <col collapsed="false" customWidth="true" hidden="false" outlineLevel="0" max="9" min="9" style="1" width="24"/>
    <col collapsed="false" customWidth="true" hidden="false" outlineLevel="0" max="10" min="10" style="1" width="18"/>
  </cols>
  <sheetData>
    <row r="1" customFormat="false" ht="27.75" hidden="false" customHeight="true" outlineLevel="0" collapsed="false">
      <c r="A1" s="26" t="s">
        <v>673</v>
      </c>
      <c r="B1" s="26"/>
      <c r="C1" s="26"/>
      <c r="D1" s="26"/>
      <c r="E1" s="26"/>
      <c r="F1" s="26"/>
      <c r="G1" s="26"/>
      <c r="H1" s="26"/>
      <c r="I1" s="26"/>
      <c r="J1" s="26"/>
    </row>
    <row r="2" customFormat="false" ht="24" hidden="false" customHeight="true" outlineLevel="0" collapsed="false">
      <c r="A2" s="27" t="s">
        <v>674</v>
      </c>
      <c r="B2" s="27"/>
      <c r="C2" s="27"/>
      <c r="D2" s="27"/>
      <c r="E2" s="27"/>
      <c r="F2" s="27"/>
      <c r="G2" s="27"/>
      <c r="H2" s="27"/>
      <c r="I2" s="27"/>
      <c r="J2" s="27"/>
    </row>
    <row r="4" customFormat="false" ht="21.75" hidden="false" customHeight="true" outlineLevel="0" collapsed="false">
      <c r="A4" s="4" t="s">
        <v>675</v>
      </c>
      <c r="B4" s="4"/>
      <c r="C4" s="4"/>
      <c r="D4" s="4"/>
      <c r="E4" s="4"/>
      <c r="F4" s="4"/>
      <c r="G4" s="4"/>
      <c r="H4" s="4"/>
    </row>
    <row r="5" customFormat="false" ht="18" hidden="false" customHeight="true" outlineLevel="0" collapsed="false">
      <c r="A5" s="12" t="s">
        <v>676</v>
      </c>
      <c r="B5" s="12"/>
      <c r="C5" s="12"/>
      <c r="D5" s="12"/>
      <c r="E5" s="12"/>
      <c r="F5" s="12"/>
      <c r="G5" s="12"/>
      <c r="H5" s="12"/>
      <c r="I5" s="12"/>
      <c r="J5" s="12"/>
    </row>
    <row r="6" customFormat="false" ht="18" hidden="false" customHeight="true" outlineLevel="0" collapsed="false">
      <c r="A6" s="12" t="s">
        <v>677</v>
      </c>
      <c r="B6" s="12"/>
      <c r="C6" s="12"/>
      <c r="D6" s="12"/>
      <c r="E6" s="12"/>
      <c r="F6" s="12"/>
      <c r="G6" s="12"/>
      <c r="H6" s="12"/>
      <c r="I6" s="12"/>
      <c r="J6" s="12"/>
    </row>
    <row r="7" customFormat="false" ht="18" hidden="false" customHeight="true" outlineLevel="0" collapsed="false">
      <c r="A7" s="12" t="s">
        <v>678</v>
      </c>
      <c r="B7" s="12"/>
      <c r="C7" s="12"/>
      <c r="D7" s="12"/>
      <c r="E7" s="12"/>
      <c r="F7" s="12"/>
      <c r="G7" s="12"/>
      <c r="H7" s="12"/>
      <c r="I7" s="12"/>
      <c r="J7" s="12"/>
    </row>
    <row r="8" customFormat="false" ht="18" hidden="false" customHeight="true" outlineLevel="0" collapsed="false">
      <c r="A8" s="12" t="s">
        <v>679</v>
      </c>
      <c r="B8" s="12"/>
      <c r="C8" s="12"/>
      <c r="D8" s="12"/>
      <c r="E8" s="12"/>
      <c r="F8" s="12"/>
      <c r="G8" s="12"/>
      <c r="H8" s="12"/>
      <c r="I8" s="12"/>
      <c r="J8" s="12"/>
    </row>
    <row r="10" customFormat="false" ht="21.75" hidden="false" customHeight="true" outlineLevel="0" collapsed="false">
      <c r="A10" s="4" t="s">
        <v>680</v>
      </c>
      <c r="B10" s="4"/>
      <c r="C10" s="4"/>
      <c r="D10" s="4"/>
      <c r="E10" s="4"/>
      <c r="F10" s="4"/>
      <c r="G10" s="4"/>
      <c r="H10" s="4"/>
    </row>
    <row r="11" customFormat="false" ht="27.75" hidden="false" customHeight="true" outlineLevel="0" collapsed="false">
      <c r="A11" s="11" t="s">
        <v>681</v>
      </c>
      <c r="B11" s="11" t="s">
        <v>682</v>
      </c>
      <c r="C11" s="11" t="s">
        <v>683</v>
      </c>
      <c r="D11" s="11" t="s">
        <v>684</v>
      </c>
      <c r="E11" s="11" t="s">
        <v>685</v>
      </c>
      <c r="F11" s="11" t="s">
        <v>686</v>
      </c>
      <c r="G11" s="11" t="s">
        <v>687</v>
      </c>
      <c r="H11" s="11" t="s">
        <v>688</v>
      </c>
      <c r="I11" s="11" t="s">
        <v>130</v>
      </c>
      <c r="J11" s="11" t="s">
        <v>689</v>
      </c>
    </row>
    <row r="12" customFormat="false" ht="31.5" hidden="false" customHeight="true" outlineLevel="0" collapsed="false">
      <c r="A12" s="15" t="s">
        <v>503</v>
      </c>
      <c r="B12" s="6" t="n">
        <f aca="false">COUNTIF(Claude_V1_Classification!C5:C27,"FACT")</f>
        <v>14</v>
      </c>
      <c r="C12" s="6" t="n">
        <f aca="false">COUNTIF(ChatGPT_V1_Classification!C5:C33,"FACT")</f>
        <v>24</v>
      </c>
      <c r="D12" s="6" t="n">
        <f aca="false">COUNTIF(Gemini_V1_Classification!C5:C27,"FACT")</f>
        <v>14</v>
      </c>
      <c r="E12" s="30" t="s">
        <v>690</v>
      </c>
      <c r="F12" s="15"/>
      <c r="G12" s="15"/>
      <c r="H12" s="15"/>
      <c r="I12" s="15" t="s">
        <v>691</v>
      </c>
      <c r="J12" s="15" t="s">
        <v>692</v>
      </c>
    </row>
    <row r="13" customFormat="false" ht="31.5" hidden="false" customHeight="true" outlineLevel="0" collapsed="false">
      <c r="A13" s="15" t="s">
        <v>504</v>
      </c>
      <c r="B13" s="6" t="n">
        <f aca="false">COUNTIF(Claude_V1_Classification!C5:C27,"CLAIM")</f>
        <v>8</v>
      </c>
      <c r="C13" s="6" t="n">
        <f aca="false">COUNTIF(ChatGPT_V1_Classification!C5:C33,"CLAIM")</f>
        <v>5</v>
      </c>
      <c r="D13" s="6" t="n">
        <f aca="false">COUNTIF(Gemini_V1_Classification!C5:C27,"CLAIM")</f>
        <v>8</v>
      </c>
      <c r="E13" s="30" t="s">
        <v>693</v>
      </c>
      <c r="F13" s="15"/>
      <c r="G13" s="15"/>
      <c r="H13" s="15"/>
      <c r="I13" s="15" t="s">
        <v>691</v>
      </c>
      <c r="J13" s="15" t="s">
        <v>694</v>
      </c>
    </row>
    <row r="14" customFormat="false" ht="31.5" hidden="false" customHeight="true" outlineLevel="0" collapsed="false">
      <c r="A14" s="15" t="s">
        <v>505</v>
      </c>
      <c r="B14" s="6" t="n">
        <f aca="false">COUNTIF(Claude_V1_Classification!C5:C27,"EVIDENCE")</f>
        <v>0</v>
      </c>
      <c r="C14" s="6" t="n">
        <f aca="false">COUNTIF(ChatGPT_V1_Classification!C5:C33,"EVIDENCE")</f>
        <v>0</v>
      </c>
      <c r="D14" s="6" t="n">
        <f aca="false">COUNTIF(Gemini_V1_Classification!C5:C27,"EVIDENCE")</f>
        <v>0</v>
      </c>
      <c r="E14" s="30" t="s">
        <v>695</v>
      </c>
      <c r="F14" s="15"/>
      <c r="G14" s="15"/>
      <c r="H14" s="15"/>
      <c r="I14" s="15" t="s">
        <v>691</v>
      </c>
      <c r="J14" s="15" t="s">
        <v>696</v>
      </c>
    </row>
    <row r="15" customFormat="false" ht="31.5" hidden="false" customHeight="true" outlineLevel="0" collapsed="false">
      <c r="A15" s="15" t="s">
        <v>697</v>
      </c>
      <c r="B15" s="46" t="n">
        <f aca="false">COUNTIF(Claude_V1_Classification!C5:C27,"FACT")/(COUNTIF(Claude_V1_Classification!C5:C27,"FACT")+COUNTIF(Claude_V1_Classification!C5:C27,"CLAIM"))</f>
        <v>0.636363636363636</v>
      </c>
      <c r="C15" s="46" t="n">
        <f aca="false">COUNTIF(ChatGPT_V1_Classification!C5:C33,"FACT")/(COUNTIF(ChatGPT_V1_Classification!C5:C33,"FACT")+COUNTIF(ChatGPT_V1_Classification!C5:C33,"CLAIM"))</f>
        <v>0.827586206896552</v>
      </c>
      <c r="D15" s="46" t="n">
        <f aca="false">COUNTIF(Gemini_V1_Classification!C5:C27,"FACT")/(COUNTIF(Gemini_V1_Classification!C5:C27,"FACT")+COUNTIF(Gemini_V1_Classification!C5:C27,"CLAIM"))</f>
        <v>0.636363636363636</v>
      </c>
      <c r="E15" s="30" t="s">
        <v>698</v>
      </c>
      <c r="F15" s="15"/>
      <c r="G15" s="15"/>
      <c r="H15" s="15"/>
      <c r="I15" s="15" t="s">
        <v>699</v>
      </c>
      <c r="J15" s="15" t="s">
        <v>38</v>
      </c>
    </row>
    <row r="16" customFormat="false" ht="31.5" hidden="false" customHeight="true" outlineLevel="0" collapsed="false">
      <c r="A16" s="15" t="s">
        <v>700</v>
      </c>
      <c r="B16" s="6" t="n">
        <f aca="false">0</f>
        <v>0</v>
      </c>
      <c r="C16" s="6" t="n">
        <f aca="false">0</f>
        <v>0</v>
      </c>
      <c r="D16" s="6" t="n">
        <f aca="false">0</f>
        <v>0</v>
      </c>
      <c r="E16" s="30" t="s">
        <v>701</v>
      </c>
      <c r="F16" s="15"/>
      <c r="G16" s="15"/>
      <c r="H16" s="15"/>
      <c r="I16" s="15" t="s">
        <v>702</v>
      </c>
      <c r="J16" s="15" t="s">
        <v>38</v>
      </c>
    </row>
    <row r="17" customFormat="false" ht="31.5" hidden="false" customHeight="true" outlineLevel="0" collapsed="false">
      <c r="A17" s="15" t="s">
        <v>703</v>
      </c>
      <c r="B17" s="6" t="s">
        <v>289</v>
      </c>
      <c r="C17" s="6" t="s">
        <v>289</v>
      </c>
      <c r="D17" s="6" t="s">
        <v>289</v>
      </c>
      <c r="E17" s="30" t="s">
        <v>289</v>
      </c>
      <c r="F17" s="15"/>
      <c r="G17" s="15"/>
      <c r="H17" s="15"/>
      <c r="I17" s="15" t="s">
        <v>704</v>
      </c>
      <c r="J17" s="15" t="s">
        <v>705</v>
      </c>
    </row>
    <row r="18" customFormat="false" ht="31.5" hidden="false" customHeight="true" outlineLevel="0" collapsed="false">
      <c r="A18" s="15" t="s">
        <v>706</v>
      </c>
      <c r="B18" s="47" t="n">
        <v>58</v>
      </c>
      <c r="C18" s="47" t="n">
        <v>72</v>
      </c>
      <c r="D18" s="47" t="n">
        <v>60</v>
      </c>
      <c r="E18" s="30" t="s">
        <v>292</v>
      </c>
      <c r="F18" s="48" t="s">
        <v>707</v>
      </c>
      <c r="G18" s="18" t="s">
        <v>708</v>
      </c>
      <c r="H18" s="48" t="s">
        <v>707</v>
      </c>
      <c r="I18" s="15" t="s">
        <v>709</v>
      </c>
      <c r="J18" s="15" t="s">
        <v>57</v>
      </c>
    </row>
    <row r="20" customFormat="false" ht="21.75" hidden="false" customHeight="true" outlineLevel="0" collapsed="false">
      <c r="A20" s="4" t="s">
        <v>710</v>
      </c>
      <c r="B20" s="4"/>
      <c r="C20" s="4"/>
      <c r="D20" s="4"/>
      <c r="E20" s="4"/>
      <c r="F20" s="4"/>
      <c r="G20" s="4"/>
      <c r="H20" s="4"/>
    </row>
    <row r="21" customFormat="false" ht="27.75" hidden="false" customHeight="true" outlineLevel="0" collapsed="false">
      <c r="A21" s="11" t="s">
        <v>681</v>
      </c>
      <c r="B21" s="11" t="s">
        <v>682</v>
      </c>
      <c r="C21" s="11" t="s">
        <v>683</v>
      </c>
      <c r="D21" s="11" t="s">
        <v>684</v>
      </c>
      <c r="E21" s="11" t="s">
        <v>685</v>
      </c>
      <c r="F21" s="11" t="s">
        <v>686</v>
      </c>
      <c r="G21" s="11" t="s">
        <v>687</v>
      </c>
      <c r="H21" s="11" t="s">
        <v>688</v>
      </c>
      <c r="I21" s="11" t="s">
        <v>130</v>
      </c>
      <c r="J21" s="11" t="s">
        <v>689</v>
      </c>
    </row>
    <row r="22" customFormat="false" ht="31.5" hidden="false" customHeight="true" outlineLevel="0" collapsed="false">
      <c r="A22" s="15" t="s">
        <v>503</v>
      </c>
      <c r="B22" s="6" t="n">
        <f aca="false">COUNTIF(Claude_V2_Classification!C5:C40,"FACT")</f>
        <v>16</v>
      </c>
      <c r="C22" s="6" t="n">
        <f aca="false">COUNTIF(ChatGPT_V2_Classification!C5:C50,"FACT")</f>
        <v>23</v>
      </c>
      <c r="D22" s="6" t="n">
        <f aca="false">COUNTIF(Gemini_V2_Classification!C5:C40,"FACT")</f>
        <v>16</v>
      </c>
      <c r="E22" s="30" t="s">
        <v>711</v>
      </c>
      <c r="F22" s="15"/>
      <c r="G22" s="15"/>
      <c r="H22" s="15"/>
      <c r="I22" s="15" t="s">
        <v>712</v>
      </c>
      <c r="J22" s="15" t="s">
        <v>46</v>
      </c>
    </row>
    <row r="23" customFormat="false" ht="31.5" hidden="false" customHeight="true" outlineLevel="0" collapsed="false">
      <c r="A23" s="15" t="s">
        <v>504</v>
      </c>
      <c r="B23" s="6" t="n">
        <f aca="false">COUNTIF(Claude_V2_Classification!C5:C40,"CLAIM")</f>
        <v>4</v>
      </c>
      <c r="C23" s="6" t="n">
        <f aca="false">COUNTIF(ChatGPT_V2_Classification!C5:C50,"CLAIM")</f>
        <v>8</v>
      </c>
      <c r="D23" s="6" t="n">
        <f aca="false">COUNTIF(Gemini_V2_Classification!C5:C40,"CLAIM")</f>
        <v>3</v>
      </c>
      <c r="E23" s="30" t="s">
        <v>713</v>
      </c>
      <c r="F23" s="15"/>
      <c r="G23" s="15"/>
      <c r="H23" s="15"/>
      <c r="I23" s="15" t="s">
        <v>712</v>
      </c>
      <c r="J23" s="15" t="s">
        <v>46</v>
      </c>
    </row>
    <row r="24" customFormat="false" ht="31.5" hidden="false" customHeight="true" outlineLevel="0" collapsed="false">
      <c r="A24" s="15" t="s">
        <v>505</v>
      </c>
      <c r="B24" s="6" t="n">
        <f aca="false">COUNTIF(Claude_V2_Classification!C5:C40,"EVIDENCE")</f>
        <v>8</v>
      </c>
      <c r="C24" s="6" t="n">
        <f aca="false">COUNTIF(ChatGPT_V2_Classification!C5:C50,"EVIDENCE")</f>
        <v>13</v>
      </c>
      <c r="D24" s="6" t="n">
        <f aca="false">COUNTIF(Gemini_V2_Classification!C5:C40,"EVIDENCE")</f>
        <v>2</v>
      </c>
      <c r="E24" s="30" t="s">
        <v>714</v>
      </c>
      <c r="F24" s="48" t="s">
        <v>715</v>
      </c>
      <c r="G24" s="18" t="s">
        <v>716</v>
      </c>
      <c r="H24" s="49" t="s">
        <v>717</v>
      </c>
      <c r="I24" s="15" t="s">
        <v>712</v>
      </c>
      <c r="J24" s="15" t="s">
        <v>718</v>
      </c>
    </row>
    <row r="25" customFormat="false" ht="31.5" hidden="false" customHeight="true" outlineLevel="0" collapsed="false">
      <c r="A25" s="15" t="s">
        <v>697</v>
      </c>
      <c r="B25" s="46" t="n">
        <f aca="false">COUNTIF(Claude_V2_Classification!C5:C40,"FACT")/(COUNTIF(Claude_V2_Classification!C5:C40,"FACT")+COUNTIF(Claude_V2_Classification!C5:C40,"CLAIM"))</f>
        <v>0.8</v>
      </c>
      <c r="C25" s="46" t="n">
        <f aca="false">COUNTIF(ChatGPT_V2_Classification!C5:C50,"FACT")/(COUNTIF(ChatGPT_V2_Classification!C5:C50,"FACT")+COUNTIF(ChatGPT_V2_Classification!C5:C50,"CLAIM"))</f>
        <v>0.741935483870968</v>
      </c>
      <c r="D25" s="46" t="n">
        <f aca="false">COUNTIF(Gemini_V2_Classification!C5:C40,"FACT")/(COUNTIF(Gemini_V2_Classification!C5:C40,"FACT")+COUNTIF(Gemini_V2_Classification!C5:C40,"CLAIM"))</f>
        <v>0.842105263157895</v>
      </c>
      <c r="E25" s="30" t="s">
        <v>719</v>
      </c>
      <c r="F25" s="15"/>
      <c r="G25" s="15"/>
      <c r="H25" s="15"/>
      <c r="I25" s="15" t="s">
        <v>70</v>
      </c>
      <c r="J25" s="15" t="s">
        <v>46</v>
      </c>
    </row>
    <row r="26" customFormat="false" ht="31.5" hidden="false" customHeight="true" outlineLevel="0" collapsed="false">
      <c r="A26" s="15" t="s">
        <v>700</v>
      </c>
      <c r="B26" s="46" t="n">
        <f aca="false">COUNTIF(Claude_V2_Classification!C5:C40,"EVIDENCE")/COUNTIF(Claude_V2_Classification!C5:C40,"CLAIM")</f>
        <v>2</v>
      </c>
      <c r="C26" s="46" t="n">
        <f aca="false">COUNTIF(ChatGPT_V2_Classification!C5:C50,"EVIDENCE")/COUNTIF(ChatGPT_V2_Classification!C5:C50,"CLAIM")</f>
        <v>1.625</v>
      </c>
      <c r="D26" s="46" t="n">
        <f aca="false">COUNTIF(Gemini_V2_Classification!C5:C40,"EVIDENCE")/COUNTIF(Gemini_V2_Classification!C5:C40,"CLAIM")</f>
        <v>0.666666666666667</v>
      </c>
      <c r="E26" s="30" t="s">
        <v>720</v>
      </c>
      <c r="F26" s="15"/>
      <c r="G26" s="15"/>
      <c r="H26" s="15"/>
      <c r="I26" s="15" t="s">
        <v>70</v>
      </c>
      <c r="J26" s="15" t="s">
        <v>46</v>
      </c>
    </row>
    <row r="27" customFormat="false" ht="31.5" hidden="false" customHeight="true" outlineLevel="0" collapsed="false">
      <c r="A27" s="15" t="s">
        <v>703</v>
      </c>
      <c r="B27" s="6" t="s">
        <v>375</v>
      </c>
      <c r="C27" s="6" t="s">
        <v>375</v>
      </c>
      <c r="D27" s="6" t="s">
        <v>375</v>
      </c>
      <c r="E27" s="30" t="s">
        <v>375</v>
      </c>
      <c r="F27" s="15"/>
      <c r="G27" s="15"/>
      <c r="H27" s="15"/>
      <c r="I27" s="15" t="s">
        <v>721</v>
      </c>
      <c r="J27" s="15" t="s">
        <v>722</v>
      </c>
    </row>
    <row r="28" customFormat="false" ht="31.5" hidden="false" customHeight="true" outlineLevel="0" collapsed="false">
      <c r="A28" s="15" t="s">
        <v>706</v>
      </c>
      <c r="B28" s="47" t="n">
        <v>81</v>
      </c>
      <c r="C28" s="47" t="n">
        <v>92</v>
      </c>
      <c r="D28" s="47" t="n">
        <v>92</v>
      </c>
      <c r="E28" s="30" t="s">
        <v>377</v>
      </c>
      <c r="F28" s="48" t="s">
        <v>723</v>
      </c>
      <c r="G28" s="18" t="s">
        <v>708</v>
      </c>
      <c r="H28" s="18" t="s">
        <v>708</v>
      </c>
      <c r="I28" s="15" t="s">
        <v>709</v>
      </c>
      <c r="J28" s="15" t="s">
        <v>57</v>
      </c>
    </row>
  </sheetData>
  <mergeCells count="9">
    <mergeCell ref="A1:J1"/>
    <mergeCell ref="A2:J2"/>
    <mergeCell ref="A4:H4"/>
    <mergeCell ref="A5:J5"/>
    <mergeCell ref="A6:J6"/>
    <mergeCell ref="A7:J7"/>
    <mergeCell ref="A8:J8"/>
    <mergeCell ref="A10:H10"/>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5F"/>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4"/>
    <col collapsed="false" customWidth="true" hidden="false" outlineLevel="0" max="3" min="3" style="1" width="20"/>
    <col collapsed="false" customWidth="true" hidden="false" outlineLevel="0" max="4" min="4" style="1" width="10"/>
    <col collapsed="false" customWidth="true" hidden="false" outlineLevel="0" max="6" min="5" style="1" width="12"/>
    <col collapsed="false" customWidth="true" hidden="false" outlineLevel="0" max="7" min="7" style="1" width="16"/>
    <col collapsed="false" customWidth="true" hidden="false" outlineLevel="0" max="8" min="8" style="1" width="20"/>
    <col collapsed="false" customWidth="true" hidden="false" outlineLevel="0" max="9" min="9" style="1" width="28"/>
  </cols>
  <sheetData>
    <row r="1" customFormat="false" ht="27.75" hidden="false" customHeight="true" outlineLevel="0" collapsed="false">
      <c r="A1" s="26" t="s">
        <v>724</v>
      </c>
      <c r="B1" s="26"/>
      <c r="C1" s="26"/>
      <c r="D1" s="26"/>
      <c r="E1" s="26"/>
      <c r="F1" s="26"/>
      <c r="G1" s="26"/>
      <c r="H1" s="26"/>
      <c r="I1" s="26"/>
    </row>
    <row r="3" customFormat="false" ht="27.75" hidden="false" customHeight="true" outlineLevel="0" collapsed="false">
      <c r="A3" s="11" t="s">
        <v>441</v>
      </c>
      <c r="B3" s="11" t="s">
        <v>725</v>
      </c>
      <c r="C3" s="11" t="s">
        <v>439</v>
      </c>
      <c r="D3" s="11" t="s">
        <v>726</v>
      </c>
      <c r="E3" s="11" t="s">
        <v>727</v>
      </c>
      <c r="F3" s="11" t="s">
        <v>728</v>
      </c>
      <c r="G3" s="11" t="s">
        <v>729</v>
      </c>
      <c r="H3" s="11" t="s">
        <v>730</v>
      </c>
      <c r="I3" s="11" t="s">
        <v>731</v>
      </c>
    </row>
    <row r="4" customFormat="false" ht="27.75" hidden="false" customHeight="true" outlineLevel="0" collapsed="false">
      <c r="A4" s="15" t="s">
        <v>732</v>
      </c>
      <c r="B4" s="15" t="s">
        <v>733</v>
      </c>
      <c r="C4" s="15" t="s">
        <v>682</v>
      </c>
      <c r="D4" s="47" t="n">
        <v>58</v>
      </c>
      <c r="E4" s="50" t="n">
        <v>45</v>
      </c>
      <c r="F4" s="50" t="n">
        <v>55</v>
      </c>
      <c r="G4" s="18" t="str">
        <f aca="false">IF(AND(D4&gt;=45,D4&lt;=55),"YES","NO")</f>
        <v>NO</v>
      </c>
      <c r="H4" s="15" t="n">
        <f aca="false">D4-((45+55)/2)</f>
        <v>8</v>
      </c>
      <c r="I4" s="15" t="s">
        <v>734</v>
      </c>
    </row>
    <row r="5" customFormat="false" ht="27.75" hidden="false" customHeight="true" outlineLevel="0" collapsed="false">
      <c r="A5" s="15" t="s">
        <v>732</v>
      </c>
      <c r="B5" s="15" t="s">
        <v>733</v>
      </c>
      <c r="C5" s="15" t="s">
        <v>683</v>
      </c>
      <c r="D5" s="47" t="n">
        <v>72</v>
      </c>
      <c r="E5" s="50" t="n">
        <v>45</v>
      </c>
      <c r="F5" s="50" t="n">
        <v>55</v>
      </c>
      <c r="G5" s="18" t="str">
        <f aca="false">IF(AND(D5&gt;=45,D5&lt;=55),"YES","NO")</f>
        <v>NO</v>
      </c>
      <c r="H5" s="15" t="n">
        <f aca="false">D5-((45+55)/2)</f>
        <v>22</v>
      </c>
      <c r="I5" s="15" t="s">
        <v>734</v>
      </c>
    </row>
    <row r="6" customFormat="false" ht="27.75" hidden="false" customHeight="true" outlineLevel="0" collapsed="false">
      <c r="A6" s="15" t="s">
        <v>732</v>
      </c>
      <c r="B6" s="15" t="s">
        <v>733</v>
      </c>
      <c r="C6" s="15" t="s">
        <v>684</v>
      </c>
      <c r="D6" s="47" t="n">
        <v>60</v>
      </c>
      <c r="E6" s="50" t="n">
        <v>45</v>
      </c>
      <c r="F6" s="50" t="n">
        <v>55</v>
      </c>
      <c r="G6" s="18" t="str">
        <f aca="false">IF(AND(D6&gt;=45,D6&lt;=55),"YES","NO")</f>
        <v>NO</v>
      </c>
      <c r="H6" s="15" t="n">
        <f aca="false">D6-((45+55)/2)</f>
        <v>10</v>
      </c>
      <c r="I6" s="15" t="s">
        <v>734</v>
      </c>
    </row>
    <row r="7" customFormat="false" ht="27.75" hidden="false" customHeight="true" outlineLevel="0" collapsed="false">
      <c r="A7" s="15" t="s">
        <v>735</v>
      </c>
      <c r="B7" s="15" t="s">
        <v>736</v>
      </c>
      <c r="C7" s="15" t="s">
        <v>682</v>
      </c>
      <c r="D7" s="47" t="n">
        <v>81</v>
      </c>
      <c r="E7" s="50" t="n">
        <v>78</v>
      </c>
      <c r="F7" s="50" t="n">
        <v>88</v>
      </c>
      <c r="G7" s="48" t="str">
        <f aca="false">IF(AND(D7&gt;=78,D7&lt;=88),"YES","NO")</f>
        <v>YES</v>
      </c>
      <c r="H7" s="15" t="n">
        <f aca="false">D7-((78+88)/2)</f>
        <v>-2</v>
      </c>
      <c r="I7" s="48" t="s">
        <v>737</v>
      </c>
    </row>
    <row r="8" customFormat="false" ht="27.75" hidden="false" customHeight="true" outlineLevel="0" collapsed="false">
      <c r="A8" s="15" t="s">
        <v>735</v>
      </c>
      <c r="B8" s="15" t="s">
        <v>736</v>
      </c>
      <c r="C8" s="15" t="s">
        <v>683</v>
      </c>
      <c r="D8" s="47" t="n">
        <v>92</v>
      </c>
      <c r="E8" s="50" t="n">
        <v>78</v>
      </c>
      <c r="F8" s="50" t="n">
        <v>88</v>
      </c>
      <c r="G8" s="18" t="str">
        <f aca="false">IF(AND(D8&gt;=78,D8&lt;=88),"YES","NO")</f>
        <v>NO</v>
      </c>
      <c r="H8" s="15" t="n">
        <f aca="false">D8-((78+88)/2)</f>
        <v>9</v>
      </c>
      <c r="I8" s="15" t="s">
        <v>734</v>
      </c>
    </row>
    <row r="9" customFormat="false" ht="27.75" hidden="false" customHeight="true" outlineLevel="0" collapsed="false">
      <c r="A9" s="15" t="s">
        <v>735</v>
      </c>
      <c r="B9" s="15" t="s">
        <v>736</v>
      </c>
      <c r="C9" s="15" t="s">
        <v>684</v>
      </c>
      <c r="D9" s="47" t="n">
        <v>92</v>
      </c>
      <c r="E9" s="50" t="n">
        <v>78</v>
      </c>
      <c r="F9" s="50" t="n">
        <v>88</v>
      </c>
      <c r="G9" s="18" t="str">
        <f aca="false">IF(AND(D9&gt;=78,D9&lt;=88),"YES","NO")</f>
        <v>NO</v>
      </c>
      <c r="H9" s="15" t="n">
        <f aca="false">D9-((78+88)/2)</f>
        <v>9</v>
      </c>
      <c r="I9" s="15" t="s">
        <v>734</v>
      </c>
    </row>
    <row r="11" customFormat="false" ht="15" hidden="false" customHeight="true" outlineLevel="0" collapsed="false">
      <c r="A11" s="51" t="s">
        <v>738</v>
      </c>
      <c r="B11" s="52" t="s">
        <v>739</v>
      </c>
      <c r="C11" s="52"/>
      <c r="D11" s="52"/>
      <c r="E11" s="52"/>
      <c r="F11" s="52"/>
      <c r="G11" s="52"/>
      <c r="H11" s="52"/>
      <c r="I11" s="52"/>
    </row>
  </sheetData>
  <mergeCells count="2">
    <mergeCell ref="A1:I1"/>
    <mergeCell ref="B11:I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5F"/>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3" min="2" style="1" width="18"/>
    <col collapsed="false" customWidth="true" hidden="false" outlineLevel="0" max="4" min="4" style="1" width="16"/>
    <col collapsed="false" customWidth="true" hidden="false" outlineLevel="0" max="5" min="5" style="1" width="18"/>
    <col collapsed="false" customWidth="true" hidden="false" outlineLevel="0" max="6" min="6" style="1" width="48"/>
    <col collapsed="false" customWidth="true" hidden="false" outlineLevel="0" max="7" min="7" style="1" width="18"/>
  </cols>
  <sheetData>
    <row r="1" customFormat="false" ht="27.75" hidden="false" customHeight="true" outlineLevel="0" collapsed="false">
      <c r="A1" s="26" t="s">
        <v>740</v>
      </c>
      <c r="B1" s="26"/>
      <c r="C1" s="26"/>
      <c r="D1" s="26"/>
      <c r="E1" s="26"/>
      <c r="F1" s="26"/>
      <c r="G1" s="26"/>
    </row>
    <row r="2" customFormat="false" ht="15.75" hidden="false" customHeight="true" outlineLevel="0" collapsed="false">
      <c r="A2" s="27" t="s">
        <v>741</v>
      </c>
      <c r="B2" s="27"/>
      <c r="C2" s="27"/>
      <c r="D2" s="27"/>
      <c r="E2" s="27"/>
      <c r="F2" s="27"/>
      <c r="G2" s="27"/>
    </row>
    <row r="4" customFormat="false" ht="27.75" hidden="false" customHeight="true" outlineLevel="0" collapsed="false">
      <c r="A4" s="11" t="s">
        <v>439</v>
      </c>
      <c r="B4" s="11" t="s">
        <v>742</v>
      </c>
      <c r="C4" s="11" t="s">
        <v>743</v>
      </c>
      <c r="D4" s="11" t="s">
        <v>744</v>
      </c>
      <c r="E4" s="11" t="s">
        <v>745</v>
      </c>
      <c r="F4" s="11" t="s">
        <v>746</v>
      </c>
      <c r="G4" s="11" t="s">
        <v>747</v>
      </c>
    </row>
    <row r="5" customFormat="false" ht="31.5" hidden="false" customHeight="true" outlineLevel="0" collapsed="false">
      <c r="A5" s="15" t="s">
        <v>682</v>
      </c>
      <c r="B5" s="47" t="n">
        <v>58</v>
      </c>
      <c r="C5" s="47" t="n">
        <v>81</v>
      </c>
      <c r="D5" s="53" t="n">
        <f aca="false">C5-B5</f>
        <v>23</v>
      </c>
      <c r="E5" s="48" t="str">
        <f aca="false">IF(D5&gt;0,"YES - CONFIRMED","FAILED")</f>
        <v>YES - CONFIRMED</v>
      </c>
      <c r="F5" s="15" t="s">
        <v>748</v>
      </c>
      <c r="G5" s="15" t="s">
        <v>749</v>
      </c>
    </row>
    <row r="6" customFormat="false" ht="31.5" hidden="false" customHeight="true" outlineLevel="0" collapsed="false">
      <c r="A6" s="15" t="s">
        <v>683</v>
      </c>
      <c r="B6" s="47" t="n">
        <v>72</v>
      </c>
      <c r="C6" s="47" t="n">
        <v>92</v>
      </c>
      <c r="D6" s="53" t="n">
        <f aca="false">C6-B6</f>
        <v>20</v>
      </c>
      <c r="E6" s="48" t="str">
        <f aca="false">IF(D6&gt;0,"YES - CONFIRMED","FAILED")</f>
        <v>YES - CONFIRMED</v>
      </c>
      <c r="F6" s="15" t="s">
        <v>750</v>
      </c>
      <c r="G6" s="15" t="s">
        <v>749</v>
      </c>
    </row>
    <row r="7" customFormat="false" ht="31.5" hidden="false" customHeight="true" outlineLevel="0" collapsed="false">
      <c r="A7" s="15" t="s">
        <v>684</v>
      </c>
      <c r="B7" s="47" t="n">
        <v>60</v>
      </c>
      <c r="C7" s="47" t="n">
        <v>92</v>
      </c>
      <c r="D7" s="53" t="n">
        <f aca="false">C7-B7</f>
        <v>32</v>
      </c>
      <c r="E7" s="48" t="str">
        <f aca="false">IF(D7&gt;0,"YES - CONFIRMED","FAILED")</f>
        <v>YES - CONFIRMED</v>
      </c>
      <c r="F7" s="15" t="s">
        <v>751</v>
      </c>
      <c r="G7" s="15" t="s">
        <v>749</v>
      </c>
    </row>
    <row r="9" customFormat="false" ht="15" hidden="false" customHeight="true" outlineLevel="0" collapsed="false">
      <c r="A9" s="51" t="s">
        <v>752</v>
      </c>
      <c r="B9" s="54" t="str">
        <f aca="false">IF(COUNTIF(E5:E7,"YES - CONFIRMED")=3,"ALL 3 CONFIRMED","CHECK")</f>
        <v>ALL 3 CONFIRMED</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5F46"/>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3" min="3" style="1" width="14"/>
    <col collapsed="false" customWidth="true" hidden="false" outlineLevel="0" max="6" min="4" style="1" width="16"/>
    <col collapsed="false" customWidth="true" hidden="false" outlineLevel="0" max="7" min="7" style="1" width="14"/>
    <col collapsed="false" customWidth="true" hidden="false" outlineLevel="0" max="8" min="8" style="1" width="16"/>
  </cols>
  <sheetData>
    <row r="1" customFormat="false" ht="27.75" hidden="false" customHeight="true" outlineLevel="0" collapsed="false">
      <c r="A1" s="26" t="s">
        <v>753</v>
      </c>
      <c r="B1" s="26"/>
      <c r="C1" s="26"/>
      <c r="D1" s="26"/>
      <c r="E1" s="26"/>
      <c r="F1" s="26"/>
      <c r="G1" s="26"/>
      <c r="H1" s="26"/>
    </row>
    <row r="3" customFormat="false" ht="27.75" hidden="false" customHeight="true" outlineLevel="0" collapsed="false">
      <c r="A3" s="11" t="s">
        <v>441</v>
      </c>
      <c r="B3" s="11" t="s">
        <v>754</v>
      </c>
      <c r="C3" s="11" t="s">
        <v>755</v>
      </c>
      <c r="D3" s="11" t="s">
        <v>756</v>
      </c>
      <c r="E3" s="11" t="s">
        <v>757</v>
      </c>
      <c r="F3" s="11" t="s">
        <v>758</v>
      </c>
      <c r="G3" s="11" t="s">
        <v>759</v>
      </c>
      <c r="H3" s="11" t="s">
        <v>760</v>
      </c>
    </row>
    <row r="4" customFormat="false" ht="27.75" hidden="false" customHeight="true" outlineLevel="0" collapsed="false">
      <c r="A4" s="15" t="s">
        <v>761</v>
      </c>
      <c r="B4" s="15" t="s">
        <v>762</v>
      </c>
      <c r="C4" s="47" t="n">
        <v>58</v>
      </c>
      <c r="D4" s="18" t="s">
        <v>289</v>
      </c>
      <c r="E4" s="47" t="n">
        <v>72</v>
      </c>
      <c r="F4" s="18" t="s">
        <v>289</v>
      </c>
      <c r="G4" s="47" t="n">
        <v>60</v>
      </c>
      <c r="H4" s="18" t="s">
        <v>289</v>
      </c>
    </row>
    <row r="5" customFormat="false" ht="27.75" hidden="false" customHeight="true" outlineLevel="0" collapsed="false">
      <c r="A5" s="15" t="s">
        <v>732</v>
      </c>
      <c r="B5" s="15" t="s">
        <v>763</v>
      </c>
      <c r="C5" s="47" t="n">
        <v>42</v>
      </c>
      <c r="D5" s="18" t="s">
        <v>289</v>
      </c>
      <c r="E5" s="47" t="n">
        <v>84</v>
      </c>
      <c r="F5" s="48" t="s">
        <v>375</v>
      </c>
      <c r="G5" s="47" t="n">
        <v>65</v>
      </c>
      <c r="H5" s="48" t="s">
        <v>375</v>
      </c>
    </row>
    <row r="6" customFormat="false" ht="27.75" hidden="false" customHeight="true" outlineLevel="0" collapsed="false">
      <c r="A6" s="15" t="s">
        <v>732</v>
      </c>
      <c r="B6" s="15" t="s">
        <v>764</v>
      </c>
      <c r="C6" s="47" t="n">
        <v>55</v>
      </c>
      <c r="D6" s="18" t="s">
        <v>289</v>
      </c>
      <c r="E6" s="47" t="n">
        <v>88</v>
      </c>
      <c r="F6" s="48" t="s">
        <v>375</v>
      </c>
      <c r="G6" s="47" t="n">
        <v>75</v>
      </c>
      <c r="H6" s="48" t="s">
        <v>375</v>
      </c>
    </row>
    <row r="7" customFormat="false" ht="27.75" hidden="false" customHeight="true" outlineLevel="0" collapsed="false">
      <c r="A7" s="15" t="s">
        <v>732</v>
      </c>
      <c r="B7" s="15" t="s">
        <v>765</v>
      </c>
      <c r="C7" s="47" t="n">
        <v>28</v>
      </c>
      <c r="D7" s="49" t="s">
        <v>766</v>
      </c>
      <c r="E7" s="47" t="n">
        <v>75</v>
      </c>
      <c r="F7" s="18" t="s">
        <v>289</v>
      </c>
      <c r="G7" s="47" t="n">
        <v>55</v>
      </c>
      <c r="H7" s="18" t="s">
        <v>289</v>
      </c>
    </row>
    <row r="8" customFormat="false" ht="27.75" hidden="false" customHeight="true" outlineLevel="0" collapsed="false">
      <c r="A8" s="15" t="s">
        <v>767</v>
      </c>
      <c r="B8" s="15" t="s">
        <v>768</v>
      </c>
      <c r="C8" s="47" t="n">
        <v>81</v>
      </c>
      <c r="D8" s="48" t="s">
        <v>375</v>
      </c>
      <c r="E8" s="47" t="n">
        <v>92</v>
      </c>
      <c r="F8" s="48" t="s">
        <v>375</v>
      </c>
      <c r="G8" s="47" t="n">
        <v>92</v>
      </c>
      <c r="H8" s="48" t="s">
        <v>375</v>
      </c>
    </row>
    <row r="9" customFormat="false" ht="27.75" hidden="false" customHeight="true" outlineLevel="0" collapsed="false">
      <c r="A9" s="15" t="s">
        <v>735</v>
      </c>
      <c r="B9" s="15" t="s">
        <v>769</v>
      </c>
      <c r="C9" s="47" t="n">
        <v>72</v>
      </c>
      <c r="D9" s="48" t="s">
        <v>375</v>
      </c>
      <c r="E9" s="47" t="n">
        <v>89</v>
      </c>
      <c r="F9" s="48" t="s">
        <v>375</v>
      </c>
      <c r="G9" s="47" t="n">
        <v>85</v>
      </c>
      <c r="H9" s="48" t="s">
        <v>375</v>
      </c>
    </row>
    <row r="10" customFormat="false" ht="27.75" hidden="false" customHeight="true" outlineLevel="0" collapsed="false">
      <c r="A10" s="15" t="s">
        <v>735</v>
      </c>
      <c r="B10" s="15" t="s">
        <v>770</v>
      </c>
      <c r="C10" s="47" t="n">
        <v>38</v>
      </c>
      <c r="D10" s="49" t="s">
        <v>766</v>
      </c>
      <c r="E10" s="47" t="n">
        <v>76</v>
      </c>
      <c r="F10" s="18" t="s">
        <v>289</v>
      </c>
      <c r="G10" s="47" t="n">
        <v>60</v>
      </c>
      <c r="H10" s="18" t="s">
        <v>289</v>
      </c>
    </row>
    <row r="11" customFormat="false" ht="27.75" hidden="false" customHeight="true" outlineLevel="0" collapsed="false">
      <c r="A11" s="15" t="s">
        <v>735</v>
      </c>
      <c r="B11" s="15" t="s">
        <v>771</v>
      </c>
      <c r="C11" s="47" t="n">
        <v>22</v>
      </c>
      <c r="D11" s="49" t="s">
        <v>766</v>
      </c>
      <c r="E11" s="47" t="n">
        <v>60</v>
      </c>
      <c r="F11" s="49" t="s">
        <v>766</v>
      </c>
      <c r="G11" s="47" t="n">
        <v>40</v>
      </c>
      <c r="H11" s="49" t="s">
        <v>766</v>
      </c>
    </row>
    <row r="14" customFormat="false" ht="15" hidden="false" customHeight="true" outlineLevel="0" collapsed="false">
      <c r="A14" s="51" t="s">
        <v>772</v>
      </c>
    </row>
    <row r="15" customFormat="false" ht="36" hidden="false" customHeight="true" outlineLevel="0" collapsed="false">
      <c r="A15" s="55" t="s">
        <v>773</v>
      </c>
      <c r="B15" s="55"/>
      <c r="C15" s="55"/>
      <c r="D15" s="55"/>
      <c r="E15" s="55"/>
      <c r="F15" s="55"/>
      <c r="G15" s="55"/>
      <c r="H15" s="55"/>
    </row>
  </sheetData>
  <mergeCells count="2">
    <mergeCell ref="A1:H1"/>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5F46"/>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14"/>
    <col collapsed="false" customWidth="true" hidden="false" outlineLevel="0" max="4" min="4" style="1" width="16"/>
    <col collapsed="false" customWidth="true" hidden="false" outlineLevel="0" max="5" min="5" style="1" width="14"/>
    <col collapsed="false" customWidth="true" hidden="false" outlineLevel="0" max="6" min="6" style="1" width="16"/>
    <col collapsed="false" customWidth="true" hidden="false" outlineLevel="0" max="7" min="7" style="1" width="42"/>
  </cols>
  <sheetData>
    <row r="1" customFormat="false" ht="27.75" hidden="false" customHeight="true" outlineLevel="0" collapsed="false">
      <c r="A1" s="26" t="s">
        <v>774</v>
      </c>
      <c r="B1" s="26"/>
      <c r="C1" s="26"/>
      <c r="D1" s="26"/>
      <c r="E1" s="26"/>
      <c r="F1" s="26"/>
      <c r="G1" s="26"/>
    </row>
    <row r="3" customFormat="false" ht="21.75" hidden="false" customHeight="true" outlineLevel="0" collapsed="false">
      <c r="A3" s="4" t="s">
        <v>451</v>
      </c>
      <c r="B3" s="4"/>
      <c r="C3" s="4"/>
      <c r="D3" s="4"/>
      <c r="E3" s="4"/>
      <c r="F3" s="4"/>
      <c r="G3" s="4"/>
    </row>
    <row r="4" customFormat="false" ht="27.75" hidden="false" customHeight="true" outlineLevel="0" collapsed="false">
      <c r="A4" s="11" t="s">
        <v>775</v>
      </c>
      <c r="B4" s="11" t="s">
        <v>725</v>
      </c>
      <c r="C4" s="11" t="s">
        <v>755</v>
      </c>
      <c r="D4" s="11" t="s">
        <v>757</v>
      </c>
      <c r="E4" s="11" t="s">
        <v>759</v>
      </c>
      <c r="F4" s="11" t="s">
        <v>776</v>
      </c>
      <c r="G4" s="11" t="s">
        <v>777</v>
      </c>
    </row>
    <row r="5" customFormat="false" ht="24" hidden="false" customHeight="true" outlineLevel="0" collapsed="false">
      <c r="A5" s="15" t="n">
        <v>1</v>
      </c>
      <c r="B5" s="15" t="s">
        <v>778</v>
      </c>
      <c r="C5" s="56" t="n">
        <v>58</v>
      </c>
      <c r="D5" s="57" t="n">
        <v>72</v>
      </c>
      <c r="E5" s="58" t="n">
        <v>60</v>
      </c>
      <c r="F5" s="48" t="s">
        <v>261</v>
      </c>
      <c r="G5" s="15"/>
    </row>
    <row r="6" customFormat="false" ht="24" hidden="false" customHeight="true" outlineLevel="0" collapsed="false">
      <c r="A6" s="15" t="n">
        <v>2</v>
      </c>
      <c r="B6" s="15" t="s">
        <v>764</v>
      </c>
      <c r="C6" s="56" t="n">
        <v>55</v>
      </c>
      <c r="D6" s="57" t="n">
        <v>88</v>
      </c>
      <c r="E6" s="58" t="n">
        <v>75</v>
      </c>
      <c r="F6" s="48" t="s">
        <v>261</v>
      </c>
      <c r="G6" s="15"/>
    </row>
    <row r="7" customFormat="false" ht="24" hidden="false" customHeight="true" outlineLevel="0" collapsed="false">
      <c r="A7" s="15" t="n">
        <v>3</v>
      </c>
      <c r="B7" s="15" t="s">
        <v>763</v>
      </c>
      <c r="C7" s="56" t="n">
        <v>42</v>
      </c>
      <c r="D7" s="57" t="n">
        <v>84</v>
      </c>
      <c r="E7" s="58" t="n">
        <v>65</v>
      </c>
      <c r="F7" s="18" t="s">
        <v>779</v>
      </c>
      <c r="G7" s="15"/>
    </row>
    <row r="8" customFormat="false" ht="24" hidden="false" customHeight="true" outlineLevel="0" collapsed="false">
      <c r="A8" s="15" t="n">
        <v>4</v>
      </c>
      <c r="B8" s="15" t="s">
        <v>765</v>
      </c>
      <c r="C8" s="56" t="n">
        <v>28</v>
      </c>
      <c r="D8" s="57" t="n">
        <v>75</v>
      </c>
      <c r="E8" s="58" t="n">
        <v>55</v>
      </c>
      <c r="F8" s="48" t="s">
        <v>261</v>
      </c>
      <c r="G8" s="15"/>
    </row>
    <row r="10" customFormat="false" ht="21.75" hidden="false" customHeight="true" outlineLevel="0" collapsed="false">
      <c r="A10" s="4" t="s">
        <v>465</v>
      </c>
      <c r="B10" s="4"/>
      <c r="C10" s="4"/>
      <c r="D10" s="4"/>
      <c r="E10" s="4"/>
      <c r="F10" s="4"/>
      <c r="G10" s="4"/>
    </row>
    <row r="11" customFormat="false" ht="27.75" hidden="false" customHeight="true" outlineLevel="0" collapsed="false">
      <c r="A11" s="11" t="s">
        <v>775</v>
      </c>
      <c r="B11" s="11" t="s">
        <v>725</v>
      </c>
      <c r="C11" s="11" t="s">
        <v>755</v>
      </c>
      <c r="D11" s="11" t="s">
        <v>757</v>
      </c>
      <c r="E11" s="11" t="s">
        <v>759</v>
      </c>
      <c r="F11" s="11" t="s">
        <v>776</v>
      </c>
      <c r="G11" s="11" t="s">
        <v>777</v>
      </c>
    </row>
    <row r="12" customFormat="false" ht="24" hidden="false" customHeight="true" outlineLevel="0" collapsed="false">
      <c r="A12" s="15" t="n">
        <v>1</v>
      </c>
      <c r="B12" s="15" t="s">
        <v>736</v>
      </c>
      <c r="C12" s="56" t="n">
        <v>81</v>
      </c>
      <c r="D12" s="57" t="n">
        <v>92</v>
      </c>
      <c r="E12" s="58" t="n">
        <v>92</v>
      </c>
      <c r="F12" s="48" t="s">
        <v>261</v>
      </c>
      <c r="G12" s="15"/>
    </row>
    <row r="13" customFormat="false" ht="24" hidden="false" customHeight="true" outlineLevel="0" collapsed="false">
      <c r="A13" s="15" t="n">
        <v>2</v>
      </c>
      <c r="B13" s="15" t="s">
        <v>769</v>
      </c>
      <c r="C13" s="56" t="n">
        <v>72</v>
      </c>
      <c r="D13" s="57" t="n">
        <v>89</v>
      </c>
      <c r="E13" s="58" t="n">
        <v>85</v>
      </c>
      <c r="F13" s="48" t="s">
        <v>261</v>
      </c>
      <c r="G13" s="15"/>
    </row>
    <row r="14" customFormat="false" ht="24" hidden="false" customHeight="true" outlineLevel="0" collapsed="false">
      <c r="A14" s="15" t="n">
        <v>3</v>
      </c>
      <c r="B14" s="15" t="s">
        <v>770</v>
      </c>
      <c r="C14" s="56" t="n">
        <v>38</v>
      </c>
      <c r="D14" s="57" t="n">
        <v>76</v>
      </c>
      <c r="E14" s="58" t="n">
        <v>60</v>
      </c>
      <c r="F14" s="48" t="s">
        <v>261</v>
      </c>
      <c r="G14" s="15"/>
    </row>
    <row r="15" customFormat="false" ht="24" hidden="false" customHeight="true" outlineLevel="0" collapsed="false">
      <c r="A15" s="15" t="n">
        <v>4</v>
      </c>
      <c r="B15" s="15" t="s">
        <v>771</v>
      </c>
      <c r="C15" s="56" t="n">
        <v>22</v>
      </c>
      <c r="D15" s="57" t="n">
        <v>60</v>
      </c>
      <c r="E15" s="58" t="n">
        <v>40</v>
      </c>
      <c r="F15" s="48" t="s">
        <v>261</v>
      </c>
      <c r="G15" s="15" t="s">
        <v>780</v>
      </c>
    </row>
  </sheetData>
  <mergeCells count="3">
    <mergeCell ref="A1:G1"/>
    <mergeCell ref="A3:G3"/>
    <mergeCell ref="A10: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5F46"/>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18"/>
    <col collapsed="false" customWidth="true" hidden="false" outlineLevel="0" max="4" min="4" style="1" width="70"/>
    <col collapsed="false" customWidth="true" hidden="false" outlineLevel="0" max="5" min="5" style="1" width="12"/>
    <col collapsed="false" customWidth="true" hidden="false" outlineLevel="0" max="6" min="6" style="1" width="14"/>
    <col collapsed="false" customWidth="true" hidden="false" outlineLevel="0" max="7" min="7" style="1" width="18"/>
  </cols>
  <sheetData>
    <row r="1" customFormat="false" ht="27.75" hidden="false" customHeight="true" outlineLevel="0" collapsed="false">
      <c r="A1" s="26" t="s">
        <v>781</v>
      </c>
      <c r="B1" s="26"/>
      <c r="C1" s="26"/>
      <c r="D1" s="26"/>
      <c r="E1" s="26"/>
      <c r="F1" s="26"/>
      <c r="G1" s="26"/>
    </row>
    <row r="2" customFormat="false" ht="19.5" hidden="false" customHeight="true" outlineLevel="0" collapsed="false">
      <c r="A2" s="27" t="s">
        <v>782</v>
      </c>
      <c r="B2" s="27"/>
      <c r="C2" s="27"/>
      <c r="D2" s="27"/>
      <c r="E2" s="27"/>
      <c r="F2" s="27"/>
      <c r="G2" s="27"/>
    </row>
    <row r="4" customFormat="false" ht="27.75" hidden="false" customHeight="true" outlineLevel="0" collapsed="false">
      <c r="A4" s="11" t="s">
        <v>441</v>
      </c>
      <c r="B4" s="11" t="s">
        <v>439</v>
      </c>
      <c r="C4" s="11" t="s">
        <v>783</v>
      </c>
      <c r="D4" s="11" t="s">
        <v>784</v>
      </c>
      <c r="E4" s="11" t="s">
        <v>785</v>
      </c>
      <c r="F4" s="11" t="s">
        <v>786</v>
      </c>
      <c r="G4" s="11" t="s">
        <v>689</v>
      </c>
    </row>
    <row r="5" customFormat="false" ht="55.5" hidden="false" customHeight="true" outlineLevel="0" collapsed="false">
      <c r="A5" s="15" t="s">
        <v>787</v>
      </c>
      <c r="B5" s="15" t="s">
        <v>682</v>
      </c>
      <c r="C5" s="16" t="s">
        <v>788</v>
      </c>
      <c r="D5" s="15" t="s">
        <v>789</v>
      </c>
      <c r="E5" s="48" t="s">
        <v>261</v>
      </c>
      <c r="F5" s="48" t="s">
        <v>261</v>
      </c>
      <c r="G5" s="15" t="s">
        <v>790</v>
      </c>
    </row>
    <row r="6" customFormat="false" ht="55.5" hidden="false" customHeight="true" outlineLevel="0" collapsed="false">
      <c r="A6" s="15" t="s">
        <v>787</v>
      </c>
      <c r="B6" s="15" t="s">
        <v>682</v>
      </c>
      <c r="C6" s="19" t="s">
        <v>791</v>
      </c>
      <c r="D6" s="15" t="s">
        <v>792</v>
      </c>
      <c r="E6" s="48" t="s">
        <v>261</v>
      </c>
      <c r="F6" s="48" t="s">
        <v>261</v>
      </c>
      <c r="G6" s="15" t="s">
        <v>790</v>
      </c>
    </row>
    <row r="7" customFormat="false" ht="55.5" hidden="false" customHeight="true" outlineLevel="0" collapsed="false">
      <c r="A7" s="15" t="s">
        <v>787</v>
      </c>
      <c r="B7" s="15" t="s">
        <v>682</v>
      </c>
      <c r="C7" s="17" t="s">
        <v>793</v>
      </c>
      <c r="D7" s="15" t="s">
        <v>794</v>
      </c>
      <c r="E7" s="48" t="s">
        <v>261</v>
      </c>
      <c r="F7" s="48" t="s">
        <v>261</v>
      </c>
      <c r="G7" s="15" t="s">
        <v>790</v>
      </c>
    </row>
    <row r="8" customFormat="false" ht="55.5" hidden="false" customHeight="true" outlineLevel="0" collapsed="false">
      <c r="A8" s="15" t="s">
        <v>787</v>
      </c>
      <c r="B8" s="15" t="s">
        <v>683</v>
      </c>
      <c r="C8" s="16" t="s">
        <v>788</v>
      </c>
      <c r="D8" s="15" t="s">
        <v>795</v>
      </c>
      <c r="E8" s="48" t="s">
        <v>261</v>
      </c>
      <c r="F8" s="48" t="s">
        <v>261</v>
      </c>
      <c r="G8" s="15" t="s">
        <v>73</v>
      </c>
    </row>
    <row r="9" customFormat="false" ht="55.5" hidden="false" customHeight="true" outlineLevel="0" collapsed="false">
      <c r="A9" s="15" t="s">
        <v>787</v>
      </c>
      <c r="B9" s="15" t="s">
        <v>683</v>
      </c>
      <c r="C9" s="19" t="s">
        <v>791</v>
      </c>
      <c r="D9" s="15" t="s">
        <v>796</v>
      </c>
      <c r="E9" s="48" t="s">
        <v>261</v>
      </c>
      <c r="F9" s="48" t="s">
        <v>261</v>
      </c>
      <c r="G9" s="15" t="s">
        <v>73</v>
      </c>
    </row>
    <row r="10" customFormat="false" ht="55.5" hidden="false" customHeight="true" outlineLevel="0" collapsed="false">
      <c r="A10" s="15" t="s">
        <v>787</v>
      </c>
      <c r="B10" s="15" t="s">
        <v>683</v>
      </c>
      <c r="C10" s="17" t="s">
        <v>793</v>
      </c>
      <c r="D10" s="15" t="s">
        <v>797</v>
      </c>
      <c r="E10" s="48" t="s">
        <v>261</v>
      </c>
      <c r="F10" s="48" t="s">
        <v>261</v>
      </c>
      <c r="G10" s="15" t="s">
        <v>73</v>
      </c>
    </row>
    <row r="11" customFormat="false" ht="55.5" hidden="false" customHeight="true" outlineLevel="0" collapsed="false">
      <c r="A11" s="15" t="s">
        <v>787</v>
      </c>
      <c r="B11" s="15" t="s">
        <v>684</v>
      </c>
      <c r="C11" s="16" t="s">
        <v>788</v>
      </c>
      <c r="D11" s="15" t="s">
        <v>798</v>
      </c>
      <c r="E11" s="48" t="s">
        <v>261</v>
      </c>
      <c r="F11" s="48" t="s">
        <v>261</v>
      </c>
      <c r="G11" s="15" t="s">
        <v>73</v>
      </c>
    </row>
    <row r="12" customFormat="false" ht="55.5" hidden="false" customHeight="true" outlineLevel="0" collapsed="false">
      <c r="A12" s="15" t="s">
        <v>787</v>
      </c>
      <c r="B12" s="15" t="s">
        <v>684</v>
      </c>
      <c r="C12" s="19" t="s">
        <v>791</v>
      </c>
      <c r="D12" s="15" t="s">
        <v>799</v>
      </c>
      <c r="E12" s="48" t="s">
        <v>261</v>
      </c>
      <c r="F12" s="18" t="s">
        <v>552</v>
      </c>
      <c r="G12" s="15" t="s">
        <v>73</v>
      </c>
    </row>
    <row r="13" customFormat="false" ht="55.5" hidden="false" customHeight="true" outlineLevel="0" collapsed="false">
      <c r="A13" s="15" t="s">
        <v>787</v>
      </c>
      <c r="B13" s="15" t="s">
        <v>684</v>
      </c>
      <c r="C13" s="17" t="s">
        <v>793</v>
      </c>
      <c r="D13" s="15" t="s">
        <v>800</v>
      </c>
      <c r="E13" s="48" t="s">
        <v>261</v>
      </c>
      <c r="F13" s="48" t="s">
        <v>261</v>
      </c>
      <c r="G13" s="15" t="s">
        <v>73</v>
      </c>
    </row>
    <row r="14" customFormat="false" ht="55.5" hidden="false" customHeight="true" outlineLevel="0" collapsed="false">
      <c r="A14" s="15" t="s">
        <v>801</v>
      </c>
      <c r="B14" s="15" t="s">
        <v>682</v>
      </c>
      <c r="C14" s="16" t="s">
        <v>788</v>
      </c>
      <c r="D14" s="15" t="s">
        <v>802</v>
      </c>
      <c r="E14" s="48" t="s">
        <v>261</v>
      </c>
      <c r="F14" s="48" t="s">
        <v>261</v>
      </c>
      <c r="G14" s="15" t="s">
        <v>73</v>
      </c>
    </row>
    <row r="15" customFormat="false" ht="55.5" hidden="false" customHeight="true" outlineLevel="0" collapsed="false">
      <c r="A15" s="15" t="s">
        <v>801</v>
      </c>
      <c r="B15" s="15" t="s">
        <v>682</v>
      </c>
      <c r="C15" s="19" t="s">
        <v>791</v>
      </c>
      <c r="D15" s="15" t="s">
        <v>803</v>
      </c>
      <c r="E15" s="48" t="s">
        <v>261</v>
      </c>
      <c r="F15" s="48" t="s">
        <v>261</v>
      </c>
      <c r="G15" s="15" t="s">
        <v>73</v>
      </c>
    </row>
    <row r="16" customFormat="false" ht="55.5" hidden="false" customHeight="true" outlineLevel="0" collapsed="false">
      <c r="A16" s="15" t="s">
        <v>801</v>
      </c>
      <c r="B16" s="15" t="s">
        <v>682</v>
      </c>
      <c r="C16" s="17" t="s">
        <v>793</v>
      </c>
      <c r="D16" s="15" t="s">
        <v>804</v>
      </c>
      <c r="E16" s="48" t="s">
        <v>261</v>
      </c>
      <c r="F16" s="48" t="s">
        <v>261</v>
      </c>
      <c r="G16" s="15" t="s">
        <v>73</v>
      </c>
    </row>
    <row r="17" customFormat="false" ht="55.5" hidden="false" customHeight="true" outlineLevel="0" collapsed="false">
      <c r="A17" s="15" t="s">
        <v>801</v>
      </c>
      <c r="B17" s="15" t="s">
        <v>684</v>
      </c>
      <c r="C17" s="19" t="s">
        <v>791</v>
      </c>
      <c r="D17" s="15" t="s">
        <v>805</v>
      </c>
      <c r="E17" s="48" t="s">
        <v>261</v>
      </c>
      <c r="F17" s="48" t="s">
        <v>261</v>
      </c>
      <c r="G17" s="15" t="s">
        <v>718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400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4"/>
    <col collapsed="false" customWidth="true" hidden="false" outlineLevel="0" max="6" min="5" style="1" width="16"/>
    <col collapsed="false" customWidth="true" hidden="false" outlineLevel="0" max="8" min="7" style="1" width="14"/>
  </cols>
  <sheetData>
    <row r="1" customFormat="false" ht="27.75" hidden="false" customHeight="true" outlineLevel="0" collapsed="false">
      <c r="A1" s="26" t="s">
        <v>806</v>
      </c>
      <c r="B1" s="26"/>
      <c r="C1" s="26"/>
      <c r="D1" s="26"/>
      <c r="E1" s="26"/>
      <c r="F1" s="26"/>
      <c r="G1" s="26"/>
      <c r="H1" s="26"/>
    </row>
    <row r="2" customFormat="false" ht="15.75" hidden="false" customHeight="true" outlineLevel="0" collapsed="false">
      <c r="A2" s="27" t="s">
        <v>807</v>
      </c>
      <c r="B2" s="27"/>
      <c r="C2" s="27"/>
      <c r="D2" s="27"/>
      <c r="E2" s="27"/>
      <c r="F2" s="27"/>
      <c r="G2" s="27"/>
      <c r="H2" s="27"/>
    </row>
    <row r="4" customFormat="false" ht="27.75" hidden="false" customHeight="true" outlineLevel="0" collapsed="false">
      <c r="A4" s="11" t="s">
        <v>681</v>
      </c>
      <c r="B4" s="11" t="s">
        <v>808</v>
      </c>
      <c r="C4" s="11" t="s">
        <v>809</v>
      </c>
      <c r="D4" s="11" t="s">
        <v>810</v>
      </c>
      <c r="E4" s="11" t="s">
        <v>811</v>
      </c>
      <c r="F4" s="11" t="s">
        <v>812</v>
      </c>
      <c r="G4" s="11" t="s">
        <v>813</v>
      </c>
      <c r="H4" s="11" t="s">
        <v>814</v>
      </c>
    </row>
    <row r="5" customFormat="false" ht="27.75" hidden="false" customHeight="true" outlineLevel="0" collapsed="false">
      <c r="A5" s="15" t="s">
        <v>815</v>
      </c>
      <c r="B5" s="30" t="n">
        <v>11</v>
      </c>
      <c r="C5" s="59" t="n">
        <v>14</v>
      </c>
      <c r="D5" s="48" t="n">
        <f aca="false">C5-B5</f>
        <v>3</v>
      </c>
      <c r="E5" s="60" t="n">
        <v>30</v>
      </c>
      <c r="F5" s="49" t="n">
        <f aca="false">E5-B5</f>
        <v>19</v>
      </c>
      <c r="G5" s="61" t="n">
        <v>14</v>
      </c>
      <c r="H5" s="48" t="n">
        <f aca="false">G5-B5</f>
        <v>3</v>
      </c>
    </row>
    <row r="6" customFormat="false" ht="27.75" hidden="false" customHeight="true" outlineLevel="0" collapsed="false">
      <c r="A6" s="15" t="s">
        <v>816</v>
      </c>
      <c r="B6" s="30" t="n">
        <v>11</v>
      </c>
      <c r="C6" s="59" t="n">
        <v>8</v>
      </c>
      <c r="D6" s="48" t="n">
        <f aca="false">C6-B6</f>
        <v>-3</v>
      </c>
      <c r="E6" s="60" t="n">
        <v>5</v>
      </c>
      <c r="F6" s="18" t="n">
        <f aca="false">E6-B6</f>
        <v>-6</v>
      </c>
      <c r="G6" s="61" t="n">
        <v>8</v>
      </c>
      <c r="H6" s="48" t="n">
        <f aca="false">G6-B6</f>
        <v>-3</v>
      </c>
    </row>
    <row r="7" customFormat="false" ht="27.75" hidden="false" customHeight="true" outlineLevel="0" collapsed="false">
      <c r="A7" s="15" t="s">
        <v>817</v>
      </c>
      <c r="B7" s="30" t="n">
        <v>0</v>
      </c>
      <c r="C7" s="59" t="n">
        <v>0</v>
      </c>
      <c r="D7" s="48" t="n">
        <f aca="false">C7-B7</f>
        <v>0</v>
      </c>
      <c r="E7" s="60" t="n">
        <v>0</v>
      </c>
      <c r="F7" s="48" t="n">
        <f aca="false">E7-B7</f>
        <v>0</v>
      </c>
      <c r="G7" s="61" t="n">
        <v>0</v>
      </c>
      <c r="H7" s="48" t="n">
        <f aca="false">G7-B7</f>
        <v>0</v>
      </c>
    </row>
    <row r="8" customFormat="false" ht="27.75" hidden="false" customHeight="true" outlineLevel="0" collapsed="false">
      <c r="A8" s="15" t="s">
        <v>818</v>
      </c>
      <c r="B8" s="30" t="n">
        <v>50</v>
      </c>
      <c r="C8" s="59" t="n">
        <v>58</v>
      </c>
      <c r="D8" s="18" t="n">
        <f aca="false">C8-B8</f>
        <v>8</v>
      </c>
      <c r="E8" s="60" t="n">
        <v>72</v>
      </c>
      <c r="F8" s="49" t="n">
        <f aca="false">E8-B8</f>
        <v>22</v>
      </c>
      <c r="G8" s="61" t="n">
        <v>60</v>
      </c>
      <c r="H8" s="49" t="n">
        <f aca="false">G8-B8</f>
        <v>10</v>
      </c>
    </row>
    <row r="9" customFormat="false" ht="27.75" hidden="false" customHeight="true" outlineLevel="0" collapsed="false">
      <c r="A9" s="15" t="s">
        <v>819</v>
      </c>
      <c r="B9" s="30" t="n">
        <v>14</v>
      </c>
      <c r="C9" s="59" t="n">
        <v>16</v>
      </c>
      <c r="D9" s="48" t="n">
        <f aca="false">C9-B9</f>
        <v>2</v>
      </c>
      <c r="E9" s="60" t="n">
        <v>25</v>
      </c>
      <c r="F9" s="49" t="n">
        <f aca="false">E9-B9</f>
        <v>11</v>
      </c>
      <c r="G9" s="61" t="n">
        <v>16</v>
      </c>
      <c r="H9" s="48" t="n">
        <f aca="false">G9-B9</f>
        <v>2</v>
      </c>
    </row>
    <row r="10" customFormat="false" ht="27.75" hidden="false" customHeight="true" outlineLevel="0" collapsed="false">
      <c r="A10" s="15" t="s">
        <v>820</v>
      </c>
      <c r="B10" s="30" t="n">
        <v>5</v>
      </c>
      <c r="C10" s="59" t="n">
        <v>4</v>
      </c>
      <c r="D10" s="48" t="n">
        <f aca="false">C10-B10</f>
        <v>-1</v>
      </c>
      <c r="E10" s="60" t="n">
        <v>8</v>
      </c>
      <c r="F10" s="48" t="n">
        <f aca="false">E10-B10</f>
        <v>3</v>
      </c>
      <c r="G10" s="61" t="n">
        <v>3</v>
      </c>
      <c r="H10" s="48" t="n">
        <f aca="false">G10-B10</f>
        <v>-2</v>
      </c>
    </row>
    <row r="11" customFormat="false" ht="27.75" hidden="false" customHeight="true" outlineLevel="0" collapsed="false">
      <c r="A11" s="15" t="s">
        <v>821</v>
      </c>
      <c r="B11" s="30" t="n">
        <v>6</v>
      </c>
      <c r="C11" s="59" t="n">
        <v>8</v>
      </c>
      <c r="D11" s="48" t="n">
        <f aca="false">C11-B11</f>
        <v>2</v>
      </c>
      <c r="E11" s="60" t="n">
        <v>13</v>
      </c>
      <c r="F11" s="18" t="n">
        <f aca="false">E11-B11</f>
        <v>7</v>
      </c>
      <c r="G11" s="61" t="n">
        <v>2</v>
      </c>
      <c r="H11" s="18" t="n">
        <f aca="false">G11-B11</f>
        <v>-4</v>
      </c>
    </row>
    <row r="12" customFormat="false" ht="27.75" hidden="false" customHeight="true" outlineLevel="0" collapsed="false">
      <c r="A12" s="15" t="s">
        <v>822</v>
      </c>
      <c r="B12" s="30" t="n">
        <v>83</v>
      </c>
      <c r="C12" s="59" t="n">
        <v>81</v>
      </c>
      <c r="D12" s="48" t="n">
        <f aca="false">C12-B12</f>
        <v>-2</v>
      </c>
      <c r="E12" s="60" t="n">
        <v>92</v>
      </c>
      <c r="F12" s="49" t="n">
        <f aca="false">E12-B12</f>
        <v>9</v>
      </c>
      <c r="G12" s="61" t="n">
        <v>92</v>
      </c>
      <c r="H12" s="49" t="n">
        <f aca="false">G12-B12</f>
        <v>9</v>
      </c>
    </row>
    <row r="14" customFormat="false" ht="15" hidden="false" customHeight="true" outlineLevel="0" collapsed="false">
      <c r="A14" s="51" t="s">
        <v>823</v>
      </c>
    </row>
    <row r="15" customFormat="false" ht="15" hidden="false" customHeight="true" outlineLevel="0" collapsed="false">
      <c r="A15" s="1" t="s">
        <v>824</v>
      </c>
      <c r="B15" s="62" t="n">
        <f aca="false">SUMPRODUCT(ABS(D5:D12))</f>
        <v>21</v>
      </c>
    </row>
    <row r="16" customFormat="false" ht="15" hidden="false" customHeight="true" outlineLevel="0" collapsed="false">
      <c r="A16" s="1" t="s">
        <v>825</v>
      </c>
      <c r="B16" s="63" t="n">
        <f aca="false">SUMPRODUCT(ABS(F5:F12))</f>
        <v>77</v>
      </c>
    </row>
    <row r="17" customFormat="false" ht="15" hidden="false" customHeight="true" outlineLevel="0" collapsed="false">
      <c r="A17" s="1" t="s">
        <v>826</v>
      </c>
      <c r="B17" s="63" t="n">
        <f aca="false">SUMPRODUCT(ABS(H5:H12))</f>
        <v>33</v>
      </c>
    </row>
    <row r="18" customFormat="false" ht="15" hidden="false" customHeight="true" outlineLevel="0" collapsed="false">
      <c r="A18" s="51" t="s">
        <v>827</v>
      </c>
      <c r="B18" s="62" t="str">
        <f aca="false">IF(AND(B15&lt;=B16,B15&lt;=B17),"Claude MOST ACCURATE — confirms F4","CHECK")</f>
        <v>Claude MOST ACCURATE — confirms F4</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5F"/>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2"/>
    <col collapsed="false" customWidth="true" hidden="false" outlineLevel="0" max="3" min="3" style="1" width="14"/>
    <col collapsed="false" customWidth="true" hidden="false" outlineLevel="0" max="4" min="4" style="1" width="36"/>
    <col collapsed="false" customWidth="true" hidden="false" outlineLevel="0" max="5" min="5" style="1" width="46"/>
    <col collapsed="false" customWidth="true" hidden="false" outlineLevel="0" max="6" min="6" style="1" width="14"/>
  </cols>
  <sheetData>
    <row r="1" customFormat="false" ht="27.75" hidden="false" customHeight="true" outlineLevel="0" collapsed="false">
      <c r="A1" s="26" t="s">
        <v>828</v>
      </c>
      <c r="B1" s="26"/>
      <c r="C1" s="26"/>
      <c r="D1" s="26"/>
      <c r="E1" s="26"/>
      <c r="F1" s="26"/>
    </row>
    <row r="3" customFormat="false" ht="27.75" hidden="false" customHeight="true" outlineLevel="0" collapsed="false">
      <c r="A3" s="11" t="s">
        <v>829</v>
      </c>
      <c r="B3" s="11" t="s">
        <v>830</v>
      </c>
      <c r="C3" s="11" t="s">
        <v>190</v>
      </c>
      <c r="D3" s="11" t="s">
        <v>831</v>
      </c>
      <c r="E3" s="11" t="s">
        <v>832</v>
      </c>
      <c r="F3" s="11" t="s">
        <v>833</v>
      </c>
    </row>
    <row r="4" customFormat="false" ht="55.5" hidden="false" customHeight="true" outlineLevel="0" collapsed="false">
      <c r="A4" s="64" t="s">
        <v>834</v>
      </c>
      <c r="B4" s="15" t="s">
        <v>835</v>
      </c>
      <c r="C4" s="15" t="s">
        <v>836</v>
      </c>
      <c r="D4" s="65" t="s">
        <v>837</v>
      </c>
      <c r="E4" s="15" t="s">
        <v>838</v>
      </c>
      <c r="F4" s="66" t="s">
        <v>839</v>
      </c>
    </row>
    <row r="5" customFormat="false" ht="55.5" hidden="false" customHeight="true" outlineLevel="0" collapsed="false">
      <c r="A5" s="64" t="s">
        <v>840</v>
      </c>
      <c r="B5" s="15" t="s">
        <v>841</v>
      </c>
      <c r="C5" s="15" t="s">
        <v>842</v>
      </c>
      <c r="D5" s="65" t="s">
        <v>843</v>
      </c>
      <c r="E5" s="15" t="s">
        <v>844</v>
      </c>
      <c r="F5" s="66" t="s">
        <v>845</v>
      </c>
    </row>
    <row r="6" customFormat="false" ht="55.5" hidden="false" customHeight="true" outlineLevel="0" collapsed="false">
      <c r="A6" s="64" t="s">
        <v>846</v>
      </c>
      <c r="B6" s="15" t="s">
        <v>847</v>
      </c>
      <c r="C6" s="15" t="s">
        <v>848</v>
      </c>
      <c r="D6" s="65" t="s">
        <v>849</v>
      </c>
      <c r="E6" s="15" t="s">
        <v>850</v>
      </c>
      <c r="F6" s="66" t="s">
        <v>851</v>
      </c>
    </row>
    <row r="7" customFormat="false" ht="55.5" hidden="false" customHeight="true" outlineLevel="0" collapsed="false">
      <c r="A7" s="64" t="s">
        <v>852</v>
      </c>
      <c r="B7" s="15" t="s">
        <v>853</v>
      </c>
      <c r="C7" s="15" t="s">
        <v>854</v>
      </c>
      <c r="D7" s="65" t="s">
        <v>855</v>
      </c>
      <c r="E7" s="15" t="s">
        <v>856</v>
      </c>
      <c r="F7" s="66" t="s">
        <v>857</v>
      </c>
    </row>
    <row r="8" customFormat="false" ht="55.5" hidden="false" customHeight="true" outlineLevel="0" collapsed="false">
      <c r="A8" s="64" t="s">
        <v>858</v>
      </c>
      <c r="B8" s="15" t="s">
        <v>859</v>
      </c>
      <c r="C8" s="15" t="s">
        <v>860</v>
      </c>
      <c r="D8" s="65" t="s">
        <v>861</v>
      </c>
      <c r="E8" s="15" t="s">
        <v>862</v>
      </c>
      <c r="F8" s="66" t="s">
        <v>863</v>
      </c>
    </row>
    <row r="9" customFormat="false" ht="55.5" hidden="false" customHeight="true" outlineLevel="0" collapsed="false">
      <c r="A9" s="64" t="s">
        <v>864</v>
      </c>
      <c r="B9" s="15" t="s">
        <v>865</v>
      </c>
      <c r="C9" s="15" t="s">
        <v>866</v>
      </c>
      <c r="D9" s="65" t="s">
        <v>71</v>
      </c>
      <c r="E9" s="15" t="s">
        <v>867</v>
      </c>
      <c r="F9" s="66" t="s">
        <v>868</v>
      </c>
    </row>
    <row r="10" customFormat="false" ht="55.5" hidden="false" customHeight="true" outlineLevel="0" collapsed="false">
      <c r="A10" s="64" t="s">
        <v>869</v>
      </c>
      <c r="B10" s="15" t="s">
        <v>870</v>
      </c>
      <c r="C10" s="15" t="s">
        <v>871</v>
      </c>
      <c r="D10" s="65" t="s">
        <v>82</v>
      </c>
      <c r="E10" s="15" t="s">
        <v>872</v>
      </c>
      <c r="F10" s="66" t="s">
        <v>873</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400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3" min="3" style="1" width="32"/>
    <col collapsed="false" customWidth="true" hidden="false" outlineLevel="0" max="4" min="4" style="1" width="40"/>
    <col collapsed="false" customWidth="true" hidden="false" outlineLevel="0" max="5" min="5" style="1" width="36"/>
    <col collapsed="false" customWidth="true" hidden="false" outlineLevel="0" max="6" min="6" style="1" width="50"/>
  </cols>
  <sheetData>
    <row r="1" customFormat="false" ht="27.75" hidden="false" customHeight="true" outlineLevel="0" collapsed="false">
      <c r="A1" s="26" t="s">
        <v>874</v>
      </c>
      <c r="B1" s="26"/>
      <c r="C1" s="26"/>
      <c r="D1" s="26"/>
      <c r="E1" s="26"/>
      <c r="F1" s="26"/>
      <c r="G1" s="26"/>
    </row>
    <row r="3" customFormat="false" ht="27.75" hidden="false" customHeight="true" outlineLevel="0" collapsed="false">
      <c r="A3" s="11" t="s">
        <v>875</v>
      </c>
      <c r="B3" s="11" t="s">
        <v>876</v>
      </c>
      <c r="C3" s="11" t="s">
        <v>877</v>
      </c>
      <c r="D3" s="11" t="s">
        <v>878</v>
      </c>
      <c r="E3" s="11" t="s">
        <v>879</v>
      </c>
      <c r="F3" s="11" t="s">
        <v>880</v>
      </c>
    </row>
    <row r="4" customFormat="false" ht="48" hidden="false" customHeight="true" outlineLevel="0" collapsed="false">
      <c r="A4" s="67" t="s">
        <v>881</v>
      </c>
      <c r="B4" s="15" t="s">
        <v>882</v>
      </c>
      <c r="C4" s="48" t="s">
        <v>883</v>
      </c>
      <c r="D4" s="18" t="s">
        <v>884</v>
      </c>
      <c r="E4" s="49" t="s">
        <v>885</v>
      </c>
      <c r="F4" s="15" t="s">
        <v>886</v>
      </c>
    </row>
    <row r="5" customFormat="false" ht="48" hidden="false" customHeight="true" outlineLevel="0" collapsed="false">
      <c r="A5" s="67" t="s">
        <v>887</v>
      </c>
      <c r="B5" s="15" t="s">
        <v>888</v>
      </c>
      <c r="C5" s="48" t="s">
        <v>883</v>
      </c>
      <c r="D5" s="18" t="s">
        <v>889</v>
      </c>
      <c r="E5" s="49" t="s">
        <v>890</v>
      </c>
      <c r="F5" s="15" t="s">
        <v>891</v>
      </c>
    </row>
    <row r="6" customFormat="false" ht="48" hidden="false" customHeight="true" outlineLevel="0" collapsed="false">
      <c r="A6" s="67" t="s">
        <v>892</v>
      </c>
      <c r="B6" s="15" t="s">
        <v>893</v>
      </c>
      <c r="C6" s="48" t="s">
        <v>883</v>
      </c>
      <c r="D6" s="18" t="s">
        <v>884</v>
      </c>
      <c r="E6" s="49" t="s">
        <v>894</v>
      </c>
      <c r="F6" s="15" t="s">
        <v>895</v>
      </c>
    </row>
    <row r="7" customFormat="false" ht="48" hidden="false" customHeight="true" outlineLevel="0" collapsed="false">
      <c r="A7" s="67" t="s">
        <v>896</v>
      </c>
      <c r="B7" s="15" t="s">
        <v>897</v>
      </c>
      <c r="C7" s="48" t="s">
        <v>883</v>
      </c>
      <c r="D7" s="18" t="s">
        <v>898</v>
      </c>
      <c r="E7" s="49" t="s">
        <v>899</v>
      </c>
      <c r="F7" s="15" t="s">
        <v>900</v>
      </c>
    </row>
    <row r="8" customFormat="false" ht="48" hidden="false" customHeight="true" outlineLevel="0" collapsed="false">
      <c r="A8" s="67" t="s">
        <v>901</v>
      </c>
      <c r="B8" s="15" t="s">
        <v>902</v>
      </c>
      <c r="C8" s="48" t="s">
        <v>883</v>
      </c>
      <c r="D8" s="18" t="s">
        <v>903</v>
      </c>
      <c r="E8" s="49" t="s">
        <v>904</v>
      </c>
      <c r="F8" s="15" t="s">
        <v>905</v>
      </c>
    </row>
    <row r="9" customFormat="false" ht="48" hidden="false" customHeight="true" outlineLevel="0" collapsed="false">
      <c r="A9" s="67" t="s">
        <v>906</v>
      </c>
      <c r="B9" s="15" t="s">
        <v>907</v>
      </c>
      <c r="C9" s="48" t="s">
        <v>908</v>
      </c>
      <c r="D9" s="18" t="s">
        <v>909</v>
      </c>
      <c r="E9" s="49" t="s">
        <v>910</v>
      </c>
      <c r="F9" s="15" t="s">
        <v>911</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7570"/>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36"/>
    <col collapsed="false" customWidth="true" hidden="false" outlineLevel="0" max="4" min="4" style="1" width="44"/>
    <col collapsed="false" customWidth="true" hidden="false" outlineLevel="0" max="5" min="5" style="1" width="22"/>
  </cols>
  <sheetData>
    <row r="1" customFormat="false" ht="27.75" hidden="false" customHeight="true" outlineLevel="0" collapsed="false">
      <c r="A1" s="26" t="s">
        <v>912</v>
      </c>
      <c r="B1" s="26"/>
      <c r="C1" s="26"/>
      <c r="D1" s="26"/>
      <c r="E1" s="26"/>
    </row>
    <row r="3" customFormat="false" ht="27.75" hidden="false" customHeight="true" outlineLevel="0" collapsed="false">
      <c r="A3" s="11" t="s">
        <v>913</v>
      </c>
      <c r="B3" s="11" t="s">
        <v>914</v>
      </c>
      <c r="C3" s="11" t="s">
        <v>915</v>
      </c>
      <c r="D3" s="11" t="s">
        <v>916</v>
      </c>
      <c r="E3" s="11" t="s">
        <v>190</v>
      </c>
    </row>
    <row r="4" customFormat="false" ht="72" hidden="false" customHeight="true" outlineLevel="0" collapsed="false">
      <c r="A4" s="6" t="s">
        <v>917</v>
      </c>
      <c r="B4" s="6" t="s">
        <v>918</v>
      </c>
      <c r="C4" s="6" t="s">
        <v>919</v>
      </c>
      <c r="D4" s="6" t="s">
        <v>920</v>
      </c>
      <c r="E4" s="6" t="s">
        <v>921</v>
      </c>
    </row>
    <row r="5" customFormat="false" ht="72" hidden="false" customHeight="true" outlineLevel="0" collapsed="false">
      <c r="A5" s="6" t="s">
        <v>922</v>
      </c>
      <c r="B5" s="6" t="s">
        <v>923</v>
      </c>
      <c r="C5" s="6" t="s">
        <v>924</v>
      </c>
      <c r="D5" s="6" t="s">
        <v>925</v>
      </c>
      <c r="E5" s="6" t="s">
        <v>926</v>
      </c>
    </row>
    <row r="6" customFormat="false" ht="72" hidden="false" customHeight="true" outlineLevel="0" collapsed="false">
      <c r="A6" s="6" t="s">
        <v>927</v>
      </c>
      <c r="B6" s="6" t="s">
        <v>928</v>
      </c>
      <c r="C6" s="6" t="s">
        <v>929</v>
      </c>
      <c r="D6" s="6" t="s">
        <v>930</v>
      </c>
      <c r="E6" s="6" t="s">
        <v>931</v>
      </c>
    </row>
    <row r="7" customFormat="false" ht="72" hidden="false" customHeight="true" outlineLevel="0" collapsed="false">
      <c r="A7" s="6" t="s">
        <v>932</v>
      </c>
      <c r="B7" s="6" t="s">
        <v>933</v>
      </c>
      <c r="C7" s="6" t="s">
        <v>934</v>
      </c>
      <c r="D7" s="6" t="s">
        <v>935</v>
      </c>
      <c r="E7" s="6" t="s">
        <v>69</v>
      </c>
    </row>
    <row r="8" customFormat="false" ht="72" hidden="false" customHeight="true" outlineLevel="0" collapsed="false">
      <c r="A8" s="6" t="s">
        <v>936</v>
      </c>
      <c r="B8" s="6" t="s">
        <v>937</v>
      </c>
      <c r="C8" s="6" t="s">
        <v>938</v>
      </c>
      <c r="D8" s="6" t="s">
        <v>939</v>
      </c>
      <c r="E8" s="6" t="s">
        <v>940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2D12"/>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6" min="3" style="0" width="10"/>
    <col collapsed="false" customWidth="true" hidden="false" outlineLevel="0" max="7" min="7" style="0" width="64"/>
  </cols>
  <sheetData>
    <row r="1" customFormat="false" ht="30" hidden="false" customHeight="true" outlineLevel="0" collapsed="false">
      <c r="A1" s="8" t="s">
        <v>941</v>
      </c>
      <c r="B1" s="8"/>
      <c r="C1" s="8"/>
      <c r="D1" s="8"/>
      <c r="E1" s="8"/>
      <c r="F1" s="8"/>
      <c r="G1" s="8"/>
    </row>
    <row r="2" customFormat="false" ht="15.75" hidden="false" customHeight="true" outlineLevel="0" collapsed="false">
      <c r="A2" s="68" t="s">
        <v>942</v>
      </c>
      <c r="B2" s="68"/>
      <c r="C2" s="68"/>
      <c r="D2" s="68"/>
      <c r="E2" s="68"/>
      <c r="F2" s="68"/>
      <c r="G2" s="68"/>
    </row>
    <row r="3" customFormat="false" ht="24" hidden="false" customHeight="true" outlineLevel="0" collapsed="false">
      <c r="A3" s="69" t="s">
        <v>943</v>
      </c>
      <c r="B3" s="69"/>
      <c r="C3" s="69"/>
      <c r="D3" s="69"/>
      <c r="E3" s="69"/>
      <c r="F3" s="69"/>
      <c r="G3" s="69"/>
    </row>
    <row r="4" customFormat="false" ht="24" hidden="false" customHeight="true" outlineLevel="0" collapsed="false">
      <c r="A4" s="69" t="s">
        <v>944</v>
      </c>
      <c r="B4" s="69"/>
      <c r="C4" s="69"/>
      <c r="D4" s="69"/>
      <c r="E4" s="69"/>
      <c r="F4" s="69"/>
      <c r="G4" s="69"/>
    </row>
    <row r="5" customFormat="false" ht="24" hidden="false" customHeight="true" outlineLevel="0" collapsed="false">
      <c r="A5" s="69" t="s">
        <v>945</v>
      </c>
      <c r="B5" s="69"/>
      <c r="C5" s="69"/>
      <c r="D5" s="69"/>
      <c r="E5" s="69"/>
      <c r="F5" s="69"/>
      <c r="G5" s="69"/>
    </row>
    <row r="6" customFormat="false" ht="24" hidden="false" customHeight="true" outlineLevel="0" collapsed="false">
      <c r="A6" s="69" t="s">
        <v>946</v>
      </c>
      <c r="B6" s="69"/>
      <c r="C6" s="69"/>
      <c r="D6" s="69"/>
      <c r="E6" s="69"/>
      <c r="F6" s="69"/>
      <c r="G6" s="69"/>
    </row>
    <row r="8" customFormat="false" ht="21.75" hidden="false" customHeight="true" outlineLevel="0" collapsed="false">
      <c r="A8" s="70" t="s">
        <v>947</v>
      </c>
      <c r="B8" s="70"/>
      <c r="C8" s="70"/>
      <c r="D8" s="70"/>
      <c r="E8" s="70"/>
      <c r="F8" s="70"/>
      <c r="G8" s="70"/>
    </row>
    <row r="9" customFormat="false" ht="43.5" hidden="false" customHeight="true" outlineLevel="0" collapsed="false">
      <c r="A9" s="71" t="s">
        <v>193</v>
      </c>
      <c r="B9" s="72" t="s">
        <v>948</v>
      </c>
      <c r="C9" s="72"/>
      <c r="D9" s="72"/>
      <c r="E9" s="72"/>
      <c r="F9" s="72"/>
      <c r="G9" s="72"/>
    </row>
    <row r="10" customFormat="false" ht="43.5" hidden="false" customHeight="true" outlineLevel="0" collapsed="false">
      <c r="A10" s="73" t="s">
        <v>240</v>
      </c>
      <c r="B10" s="72" t="s">
        <v>949</v>
      </c>
      <c r="C10" s="72"/>
      <c r="D10" s="72"/>
      <c r="E10" s="72"/>
      <c r="F10" s="72"/>
      <c r="G10" s="72"/>
    </row>
    <row r="11" customFormat="false" ht="43.5" hidden="false" customHeight="true" outlineLevel="0" collapsed="false">
      <c r="A11" s="74" t="s">
        <v>276</v>
      </c>
      <c r="B11" s="72" t="s">
        <v>950</v>
      </c>
      <c r="C11" s="72"/>
      <c r="D11" s="72"/>
      <c r="E11" s="72"/>
      <c r="F11" s="72"/>
      <c r="G11" s="72"/>
    </row>
    <row r="13" customFormat="false" ht="21.75" hidden="false" customHeight="true" outlineLevel="0" collapsed="false">
      <c r="A13" s="70" t="s">
        <v>951</v>
      </c>
      <c r="B13" s="70"/>
      <c r="C13" s="70"/>
      <c r="D13" s="70"/>
      <c r="E13" s="70"/>
      <c r="F13" s="70"/>
      <c r="G13" s="70"/>
    </row>
    <row r="14" customFormat="false" ht="27.75" hidden="false" customHeight="true" outlineLevel="0" collapsed="false">
      <c r="A14" s="11" t="s">
        <v>952</v>
      </c>
      <c r="B14" s="11" t="s">
        <v>441</v>
      </c>
      <c r="C14" s="11" t="s">
        <v>187</v>
      </c>
      <c r="D14" s="11" t="s">
        <v>449</v>
      </c>
      <c r="E14" s="11" t="s">
        <v>457</v>
      </c>
      <c r="F14" s="11" t="s">
        <v>461</v>
      </c>
      <c r="G14" s="11" t="s">
        <v>953</v>
      </c>
    </row>
    <row r="15" customFormat="false" ht="79.5" hidden="false" customHeight="true" outlineLevel="0" collapsed="false">
      <c r="A15" s="75" t="s">
        <v>192</v>
      </c>
      <c r="B15" s="76" t="s">
        <v>787</v>
      </c>
      <c r="C15" s="16" t="s">
        <v>193</v>
      </c>
      <c r="D15" s="77" t="s">
        <v>193</v>
      </c>
      <c r="E15" s="77" t="s">
        <v>193</v>
      </c>
      <c r="F15" s="77" t="s">
        <v>193</v>
      </c>
      <c r="G15" s="78" t="s">
        <v>954</v>
      </c>
    </row>
    <row r="16" customFormat="false" ht="79.5" hidden="false" customHeight="true" outlineLevel="0" collapsed="false">
      <c r="A16" s="75" t="s">
        <v>198</v>
      </c>
      <c r="B16" s="76" t="s">
        <v>787</v>
      </c>
      <c r="C16" s="16" t="s">
        <v>193</v>
      </c>
      <c r="D16" s="77" t="s">
        <v>193</v>
      </c>
      <c r="E16" s="77" t="s">
        <v>193</v>
      </c>
      <c r="F16" s="77" t="s">
        <v>193</v>
      </c>
      <c r="G16" s="78" t="s">
        <v>955</v>
      </c>
    </row>
    <row r="17" customFormat="false" ht="79.5" hidden="false" customHeight="true" outlineLevel="0" collapsed="false">
      <c r="A17" s="75" t="s">
        <v>235</v>
      </c>
      <c r="B17" s="76" t="s">
        <v>787</v>
      </c>
      <c r="C17" s="16" t="s">
        <v>193</v>
      </c>
      <c r="D17" s="77" t="s">
        <v>193</v>
      </c>
      <c r="E17" s="77" t="s">
        <v>193</v>
      </c>
      <c r="F17" s="77" t="s">
        <v>193</v>
      </c>
      <c r="G17" s="78" t="s">
        <v>956</v>
      </c>
    </row>
    <row r="18" customFormat="false" ht="79.5" hidden="false" customHeight="true" outlineLevel="0" collapsed="false">
      <c r="A18" s="75" t="s">
        <v>311</v>
      </c>
      <c r="B18" s="76" t="s">
        <v>801</v>
      </c>
      <c r="C18" s="16" t="s">
        <v>193</v>
      </c>
      <c r="D18" s="77" t="s">
        <v>193</v>
      </c>
      <c r="E18" s="77" t="s">
        <v>193</v>
      </c>
      <c r="F18" s="77" t="s">
        <v>193</v>
      </c>
      <c r="G18" s="78" t="s">
        <v>957</v>
      </c>
    </row>
    <row r="19" customFormat="false" ht="79.5" hidden="false" customHeight="true" outlineLevel="0" collapsed="false">
      <c r="A19" s="75" t="s">
        <v>302</v>
      </c>
      <c r="B19" s="76" t="s">
        <v>801</v>
      </c>
      <c r="C19" s="16" t="s">
        <v>193</v>
      </c>
      <c r="D19" s="77" t="s">
        <v>193</v>
      </c>
      <c r="E19" s="77" t="s">
        <v>193</v>
      </c>
      <c r="F19" s="77" t="s">
        <v>193</v>
      </c>
      <c r="G19" s="78" t="s">
        <v>958</v>
      </c>
    </row>
    <row r="20" customFormat="false" ht="79.5" hidden="false" customHeight="true" outlineLevel="0" collapsed="false">
      <c r="A20" s="75" t="s">
        <v>308</v>
      </c>
      <c r="B20" s="76" t="s">
        <v>801</v>
      </c>
      <c r="C20" s="16" t="s">
        <v>193</v>
      </c>
      <c r="D20" s="77" t="s">
        <v>193</v>
      </c>
      <c r="E20" s="77" t="s">
        <v>193</v>
      </c>
      <c r="F20" s="77" t="s">
        <v>193</v>
      </c>
      <c r="G20" s="78" t="s">
        <v>959</v>
      </c>
    </row>
    <row r="21" customFormat="false" ht="79.5" hidden="false" customHeight="true" outlineLevel="0" collapsed="false">
      <c r="A21" s="75" t="s">
        <v>266</v>
      </c>
      <c r="B21" s="76" t="s">
        <v>787</v>
      </c>
      <c r="C21" s="17" t="s">
        <v>240</v>
      </c>
      <c r="D21" s="79" t="s">
        <v>240</v>
      </c>
      <c r="E21" s="79" t="s">
        <v>240</v>
      </c>
      <c r="F21" s="79" t="s">
        <v>240</v>
      </c>
      <c r="G21" s="78" t="s">
        <v>960</v>
      </c>
    </row>
    <row r="22" customFormat="false" ht="79.5" hidden="false" customHeight="true" outlineLevel="0" collapsed="false">
      <c r="A22" s="75" t="s">
        <v>263</v>
      </c>
      <c r="B22" s="76" t="s">
        <v>787</v>
      </c>
      <c r="C22" s="17" t="s">
        <v>240</v>
      </c>
      <c r="D22" s="79" t="s">
        <v>240</v>
      </c>
      <c r="E22" s="79" t="s">
        <v>240</v>
      </c>
      <c r="F22" s="79" t="s">
        <v>240</v>
      </c>
      <c r="G22" s="78" t="s">
        <v>961</v>
      </c>
    </row>
    <row r="23" customFormat="false" ht="79.5" hidden="false" customHeight="true" outlineLevel="0" collapsed="false">
      <c r="A23" s="75" t="s">
        <v>364</v>
      </c>
      <c r="B23" s="76" t="s">
        <v>801</v>
      </c>
      <c r="C23" s="17" t="s">
        <v>240</v>
      </c>
      <c r="D23" s="79" t="s">
        <v>240</v>
      </c>
      <c r="E23" s="79" t="s">
        <v>240</v>
      </c>
      <c r="F23" s="79" t="s">
        <v>240</v>
      </c>
      <c r="G23" s="78" t="s">
        <v>962</v>
      </c>
    </row>
    <row r="24" customFormat="false" ht="79.5" hidden="false" customHeight="true" outlineLevel="0" collapsed="false">
      <c r="A24" s="75" t="s">
        <v>361</v>
      </c>
      <c r="B24" s="76" t="s">
        <v>801</v>
      </c>
      <c r="C24" s="17" t="s">
        <v>240</v>
      </c>
      <c r="D24" s="79" t="s">
        <v>240</v>
      </c>
      <c r="E24" s="79" t="s">
        <v>240</v>
      </c>
      <c r="F24" s="79" t="s">
        <v>240</v>
      </c>
      <c r="G24" s="78" t="s">
        <v>963</v>
      </c>
    </row>
    <row r="25" customFormat="false" ht="79.5" hidden="false" customHeight="true" outlineLevel="0" collapsed="false">
      <c r="A25" s="75" t="s">
        <v>239</v>
      </c>
      <c r="B25" s="76" t="s">
        <v>787</v>
      </c>
      <c r="C25" s="17" t="s">
        <v>240</v>
      </c>
      <c r="D25" s="79" t="s">
        <v>240</v>
      </c>
      <c r="E25" s="80" t="s">
        <v>193</v>
      </c>
      <c r="F25" s="79" t="s">
        <v>240</v>
      </c>
      <c r="G25" s="81" t="s">
        <v>964</v>
      </c>
    </row>
    <row r="26" customFormat="false" ht="79.5" hidden="false" customHeight="true" outlineLevel="0" collapsed="false">
      <c r="A26" s="75" t="s">
        <v>249</v>
      </c>
      <c r="B26" s="76" t="s">
        <v>787</v>
      </c>
      <c r="C26" s="17" t="s">
        <v>240</v>
      </c>
      <c r="D26" s="79" t="s">
        <v>240</v>
      </c>
      <c r="E26" s="80" t="s">
        <v>193</v>
      </c>
      <c r="F26" s="79" t="s">
        <v>240</v>
      </c>
      <c r="G26" s="81" t="s">
        <v>965</v>
      </c>
    </row>
    <row r="27" customFormat="false" ht="79.5" hidden="false" customHeight="true" outlineLevel="0" collapsed="false">
      <c r="A27" s="75" t="s">
        <v>245</v>
      </c>
      <c r="B27" s="76" t="s">
        <v>787</v>
      </c>
      <c r="C27" s="17" t="s">
        <v>240</v>
      </c>
      <c r="D27" s="79" t="s">
        <v>240</v>
      </c>
      <c r="E27" s="80" t="s">
        <v>193</v>
      </c>
      <c r="F27" s="79" t="s">
        <v>240</v>
      </c>
      <c r="G27" s="81" t="s">
        <v>966</v>
      </c>
    </row>
    <row r="28" customFormat="false" ht="79.5" hidden="false" customHeight="true" outlineLevel="0" collapsed="false">
      <c r="A28" s="75" t="s">
        <v>259</v>
      </c>
      <c r="B28" s="76" t="s">
        <v>787</v>
      </c>
      <c r="C28" s="17" t="s">
        <v>240</v>
      </c>
      <c r="D28" s="79" t="s">
        <v>240</v>
      </c>
      <c r="E28" s="80" t="s">
        <v>193</v>
      </c>
      <c r="F28" s="79" t="s">
        <v>240</v>
      </c>
      <c r="G28" s="81" t="s">
        <v>967</v>
      </c>
    </row>
    <row r="29" customFormat="false" ht="79.5" hidden="false" customHeight="true" outlineLevel="0" collapsed="false">
      <c r="A29" s="75" t="s">
        <v>256</v>
      </c>
      <c r="B29" s="76" t="s">
        <v>787</v>
      </c>
      <c r="C29" s="17" t="s">
        <v>240</v>
      </c>
      <c r="D29" s="79" t="s">
        <v>240</v>
      </c>
      <c r="E29" s="80" t="s">
        <v>193</v>
      </c>
      <c r="F29" s="79" t="s">
        <v>240</v>
      </c>
      <c r="G29" s="81" t="s">
        <v>968</v>
      </c>
    </row>
    <row r="30" customFormat="false" ht="79.5" hidden="false" customHeight="true" outlineLevel="0" collapsed="false">
      <c r="A30" s="75" t="s">
        <v>335</v>
      </c>
      <c r="B30" s="76" t="s">
        <v>801</v>
      </c>
      <c r="C30" s="19" t="s">
        <v>276</v>
      </c>
      <c r="D30" s="82" t="s">
        <v>276</v>
      </c>
      <c r="E30" s="82" t="s">
        <v>276</v>
      </c>
      <c r="F30" s="80" t="s">
        <v>193</v>
      </c>
      <c r="G30" s="81" t="s">
        <v>969</v>
      </c>
    </row>
    <row r="31" customFormat="false" ht="79.5" hidden="false" customHeight="true" outlineLevel="0" collapsed="false">
      <c r="A31" s="75" t="s">
        <v>340</v>
      </c>
      <c r="B31" s="76" t="s">
        <v>801</v>
      </c>
      <c r="C31" s="19" t="s">
        <v>276</v>
      </c>
      <c r="D31" s="82" t="s">
        <v>276</v>
      </c>
      <c r="E31" s="82" t="s">
        <v>276</v>
      </c>
      <c r="F31" s="80" t="s">
        <v>193</v>
      </c>
      <c r="G31" s="81" t="s">
        <v>970</v>
      </c>
    </row>
    <row r="32" customFormat="false" ht="79.5" hidden="false" customHeight="true" outlineLevel="0" collapsed="false">
      <c r="A32" s="75" t="s">
        <v>344</v>
      </c>
      <c r="B32" s="76" t="s">
        <v>801</v>
      </c>
      <c r="C32" s="19" t="s">
        <v>276</v>
      </c>
      <c r="D32" s="82" t="s">
        <v>276</v>
      </c>
      <c r="E32" s="82" t="s">
        <v>276</v>
      </c>
      <c r="F32" s="80" t="s">
        <v>193</v>
      </c>
      <c r="G32" s="81" t="s">
        <v>971</v>
      </c>
    </row>
    <row r="33" customFormat="false" ht="79.5" hidden="false" customHeight="true" outlineLevel="0" collapsed="false">
      <c r="A33" s="75" t="s">
        <v>210</v>
      </c>
      <c r="B33" s="76" t="s">
        <v>787</v>
      </c>
      <c r="C33" s="16" t="s">
        <v>193</v>
      </c>
      <c r="D33" s="77" t="s">
        <v>193</v>
      </c>
      <c r="E33" s="77" t="s">
        <v>193</v>
      </c>
      <c r="F33" s="77" t="s">
        <v>193</v>
      </c>
      <c r="G33" s="78" t="s">
        <v>972</v>
      </c>
    </row>
    <row r="34" customFormat="false" ht="79.5" hidden="false" customHeight="true" outlineLevel="0" collapsed="false">
      <c r="A34" s="75" t="s">
        <v>317</v>
      </c>
      <c r="B34" s="76" t="s">
        <v>801</v>
      </c>
      <c r="C34" s="16" t="s">
        <v>193</v>
      </c>
      <c r="D34" s="77" t="s">
        <v>193</v>
      </c>
      <c r="E34" s="77" t="s">
        <v>193</v>
      </c>
      <c r="F34" s="77" t="s">
        <v>193</v>
      </c>
      <c r="G34" s="78" t="s">
        <v>973</v>
      </c>
    </row>
    <row r="35" customFormat="false" ht="79.5" hidden="false" customHeight="true" outlineLevel="0" collapsed="false">
      <c r="A35" s="75" t="s">
        <v>348</v>
      </c>
      <c r="B35" s="76" t="s">
        <v>801</v>
      </c>
      <c r="C35" s="19" t="s">
        <v>276</v>
      </c>
      <c r="D35" s="82" t="s">
        <v>276</v>
      </c>
      <c r="E35" s="82" t="s">
        <v>276</v>
      </c>
      <c r="F35" s="82" t="s">
        <v>276</v>
      </c>
      <c r="G35" s="78" t="s">
        <v>974</v>
      </c>
    </row>
    <row r="37" customFormat="false" ht="21.75" hidden="false" customHeight="true" outlineLevel="0" collapsed="false">
      <c r="A37" s="70" t="s">
        <v>975</v>
      </c>
      <c r="B37" s="70"/>
      <c r="C37" s="70"/>
      <c r="D37" s="70"/>
      <c r="E37" s="70"/>
      <c r="F37" s="70"/>
      <c r="G37" s="70"/>
    </row>
    <row r="38" customFormat="false" ht="19.5" hidden="false" customHeight="true" outlineLevel="0" collapsed="false">
      <c r="A38" s="83" t="s">
        <v>976</v>
      </c>
      <c r="B38" s="84" t="n">
        <v>21</v>
      </c>
      <c r="C38" s="9" t="s">
        <v>977</v>
      </c>
      <c r="D38" s="9"/>
      <c r="E38" s="9"/>
      <c r="F38" s="9"/>
      <c r="G38" s="9"/>
    </row>
    <row r="39" customFormat="false" ht="19.5" hidden="false" customHeight="true" outlineLevel="0" collapsed="false">
      <c r="A39" s="83" t="s">
        <v>978</v>
      </c>
      <c r="B39" s="84" t="n">
        <v>13</v>
      </c>
      <c r="C39" s="9" t="s">
        <v>979</v>
      </c>
      <c r="D39" s="9"/>
      <c r="E39" s="9"/>
      <c r="F39" s="9"/>
      <c r="G39" s="9"/>
    </row>
    <row r="40" customFormat="false" ht="19.5" hidden="false" customHeight="true" outlineLevel="0" collapsed="false">
      <c r="A40" s="83" t="s">
        <v>980</v>
      </c>
      <c r="B40" s="84" t="n">
        <v>21</v>
      </c>
      <c r="C40" s="9" t="s">
        <v>981</v>
      </c>
      <c r="D40" s="9"/>
      <c r="E40" s="9"/>
      <c r="F40" s="9"/>
      <c r="G40" s="9"/>
    </row>
    <row r="41" customFormat="false" ht="19.5" hidden="false" customHeight="true" outlineLevel="0" collapsed="false">
      <c r="A41" s="83" t="s">
        <v>982</v>
      </c>
      <c r="B41" s="84" t="n">
        <v>5</v>
      </c>
      <c r="C41" s="9" t="s">
        <v>983</v>
      </c>
      <c r="D41" s="9"/>
      <c r="E41" s="9"/>
      <c r="F41" s="9"/>
      <c r="G41" s="9"/>
    </row>
    <row r="42" customFormat="false" ht="19.5" hidden="false" customHeight="true" outlineLevel="0" collapsed="false">
      <c r="A42" s="83" t="s">
        <v>984</v>
      </c>
      <c r="B42" s="84" t="n">
        <v>3</v>
      </c>
      <c r="C42" s="9" t="s">
        <v>985</v>
      </c>
      <c r="D42" s="9"/>
      <c r="E42" s="9"/>
      <c r="F42" s="9"/>
      <c r="G42" s="9"/>
    </row>
    <row r="44" customFormat="false" ht="60" hidden="false" customHeight="true" outlineLevel="0" collapsed="false">
      <c r="A44" s="85" t="s">
        <v>986</v>
      </c>
      <c r="B44" s="85"/>
      <c r="C44" s="85"/>
      <c r="D44" s="85"/>
      <c r="E44" s="85"/>
      <c r="F44" s="85"/>
      <c r="G44" s="85"/>
    </row>
  </sheetData>
  <mergeCells count="18">
    <mergeCell ref="A1:G1"/>
    <mergeCell ref="A2:G2"/>
    <mergeCell ref="A3:G3"/>
    <mergeCell ref="A4:G4"/>
    <mergeCell ref="A5:G5"/>
    <mergeCell ref="A6:G6"/>
    <mergeCell ref="A8:G8"/>
    <mergeCell ref="B9:G9"/>
    <mergeCell ref="B10:G10"/>
    <mergeCell ref="B11:G11"/>
    <mergeCell ref="A13:G13"/>
    <mergeCell ref="A37:G37"/>
    <mergeCell ref="C38:G38"/>
    <mergeCell ref="C39:G39"/>
    <mergeCell ref="C40:G40"/>
    <mergeCell ref="C41:G41"/>
    <mergeCell ref="C42:G42"/>
    <mergeCell ref="A44:G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2026-06-19T11:14:10Z</dcterms:created>
  <dc:creator>openpyxl</dc:creator>
  <dc:description/>
  <dc:language>en-US</dc:language>
  <cp:lastModifiedBy/>
  <dcterms:modified xsi:type="dcterms:W3CDTF">2026-06-19T11:41:18Z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